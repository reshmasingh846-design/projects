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Dashboard" sheetId="2" state="visible" r:id="rId2"/>
    <sheet name="Raw_Data" sheetId="3" state="visible" r:id="rId3"/>
    <sheet name="Analysis" sheetId="4" state="visible" r:id="rId4"/>
    <sheet name="Alert_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-mm-yyyy"/>
    <numFmt numFmtId="166" formatCode="dd-mmm-yyyy"/>
  </numFmts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3864"/>
      <sz val="20"/>
    </font>
    <font>
      <i val="1"/>
      <color rgb="00595959"/>
      <sz val="11"/>
    </font>
    <font>
      <b val="1"/>
      <color rgb="00595959"/>
      <sz val="10"/>
    </font>
    <font>
      <b val="1"/>
      <color rgb="001F3864"/>
      <sz val="18"/>
    </font>
    <font>
      <b val="1"/>
      <color rgb="001F3864"/>
      <sz val="16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6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1" pivotButton="0" quotePrefix="0" xfId="0"/>
    <xf numFmtId="0" fontId="0" fillId="3" borderId="1" pivotButton="0" quotePrefix="0" xfId="0"/>
    <xf numFmtId="166" fontId="5" fillId="3" borderId="1" pivotButton="0" quotePrefix="0" xfId="0"/>
    <xf numFmtId="4" fontId="5" fillId="3" borderId="1" pivotButton="0" quotePrefix="0" xfId="0"/>
    <xf numFmtId="0" fontId="5" fillId="3" borderId="1" pivotButton="0" quotePrefix="0" xfId="0"/>
    <xf numFmtId="2" fontId="5" fillId="3" borderId="1" pivotButton="0" quotePrefix="0" xfId="0"/>
    <xf numFmtId="1" fontId="5" fillId="3" borderId="1" pivotButton="0" quotePrefix="0" xfId="0"/>
    <xf numFmtId="0" fontId="1" fillId="2" borderId="0" pivotButton="0" quotePrefix="0" xfId="0"/>
    <xf numFmtId="165" fontId="0" fillId="0" borderId="0" pivotButton="0" quotePrefix="0" xfId="0"/>
    <xf numFmtId="4" fontId="0" fillId="0" borderId="0" pivotButton="0" quotePrefix="0" xfId="0"/>
    <xf numFmtId="0" fontId="1" fillId="2" borderId="0" applyAlignment="1" pivotButton="0" quotePrefix="0" xfId="0">
      <alignment horizontal="center" wrapText="1"/>
    </xf>
    <xf numFmtId="2" fontId="0" fillId="0" borderId="0" pivotButton="0" quotePrefix="0" xfId="0"/>
  </cellXfs>
  <cellStyles count="1">
    <cellStyle name="Normal" xfId="0" builtinId="0" hidden="0"/>
  </cellStyles>
  <dxfs count="10">
    <dxf>
      <font>
        <b val="1"/>
        <color rgb="00006100"/>
        <sz val="18"/>
      </font>
      <fill>
        <patternFill patternType="solid">
          <fgColor rgb="00C6EFCE"/>
        </patternFill>
      </fill>
    </dxf>
    <dxf>
      <font>
        <b val="1"/>
        <color rgb="009C6500"/>
        <sz val="18"/>
      </font>
      <fill>
        <patternFill patternType="solid">
          <fgColor rgb="00FFEB9C"/>
        </patternFill>
      </fill>
    </dxf>
    <dxf>
      <font>
        <b val="1"/>
        <color rgb="009C5700"/>
        <sz val="18"/>
      </font>
      <fill>
        <patternFill patternType="solid">
          <fgColor rgb="00FFD599"/>
        </patternFill>
      </fill>
    </dxf>
    <dxf>
      <font>
        <b val="1"/>
        <color rgb="009C0006"/>
        <sz val="18"/>
      </font>
      <fill>
        <patternFill patternType="solid">
          <fgColor rgb="00FFC7CE"/>
        </patternFill>
      </fill>
    </dxf>
    <dxf>
      <font>
        <b val="1"/>
        <color rgb="00808080"/>
        <sz val="18"/>
      </font>
      <fill>
        <patternFill patternType="solid">
          <fgColor rgb="00E7E6E6"/>
        </patternFill>
      </fill>
    </dxf>
    <dxf>
      <font>
        <color rgb="00006100"/>
      </font>
      <fill>
        <patternFill patternType="solid">
          <fgColor rgb="00C6EFCE"/>
        </patternFill>
      </fill>
    </dxf>
    <dxf>
      <font>
        <color rgb="009C6500"/>
      </font>
      <fill>
        <patternFill patternType="solid">
          <fgColor rgb="00FFEB9C"/>
        </patternFill>
      </fill>
    </dxf>
    <dxf>
      <font>
        <color rgb="009C5700"/>
      </font>
      <fill>
        <patternFill patternType="solid">
          <fgColor rgb="00FFD599"/>
        </patternFill>
      </fill>
    </dxf>
    <dxf>
      <font>
        <b val="1"/>
        <color rgb="009C0006"/>
      </font>
      <fill>
        <patternFill patternType="solid">
          <fgColor rgb="00FFC7CE"/>
        </patternFill>
      </fill>
    </dxf>
    <dxf>
      <font>
        <color rgb="00808080"/>
      </font>
      <fill>
        <patternFill patternType="solid">
          <fgColor rgb="00E7E6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LNNCP Value vs 30-Day Rolling Mean and +-3-sigma Control Bands</a:t>
            </a:r>
          </a:p>
        </rich>
      </tx>
    </title>
    <plotArea>
      <lineChart>
        <grouping val="standard"/>
        <ser>
          <idx val="0"/>
          <order val="0"/>
          <tx>
            <strRef>
              <f>'Analysis'!B1</f>
            </strRef>
          </tx>
          <spPr>
            <a:ln w="150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'Analysis'!$A$2:$A$644</f>
            </numRef>
          </cat>
          <val>
            <numRef>
              <f>'Analysis'!$B$2:$B$644</f>
            </numRef>
          </val>
          <smooth val="0"/>
        </ser>
        <ser>
          <idx val="1"/>
          <order val="1"/>
          <tx>
            <strRef>
              <f>'Analysis'!C1</f>
            </strRef>
          </tx>
          <spPr>
            <a:ln w="100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'Analysis'!$A$2:$A$644</f>
            </numRef>
          </cat>
          <val>
            <numRef>
              <f>'Analysis'!$C$2:$C$644</f>
            </numRef>
          </val>
          <smooth val="0"/>
        </ser>
        <ser>
          <idx val="2"/>
          <order val="2"/>
          <tx>
            <strRef>
              <f>'Analysis'!E1</f>
            </strRef>
          </tx>
          <spPr>
            <a:ln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'Analysis'!$A$2:$A$644</f>
            </numRef>
          </cat>
          <val>
            <numRef>
              <f>'Analysis'!$E$2:$E$644</f>
            </numRef>
          </val>
          <smooth val="0"/>
        </ser>
        <ser>
          <idx val="3"/>
          <order val="3"/>
          <tx>
            <strRef>
              <f>'Analysis'!F1</f>
            </strRef>
          </tx>
          <spPr>
            <a:ln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'Analysis'!$A$2:$A$644</f>
            </numRef>
          </cat>
          <val>
            <numRef>
              <f>'Analysis'!$F$2:$F$644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lnncp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Alert Status Distribution (All-Time)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'Dashboard'!C16</f>
            </strRef>
          </tx>
          <spPr>
            <a:ln>
              <a:prstDash val="solid"/>
            </a:ln>
          </spPr>
          <cat>
            <numRef>
              <f>'Dashboard'!$B$17:$B$20</f>
            </numRef>
          </cat>
          <val>
            <numRef>
              <f>'Dashboard'!$C$17:$C$20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21</row>
      <rowOff>0</rowOff>
    </from>
    <ext cx="864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21</row>
      <rowOff>0</rowOff>
    </from>
    <ext cx="432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4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10" customWidth="1" min="2" max="2"/>
  </cols>
  <sheetData>
    <row r="2">
      <c r="B2" s="1" t="inlineStr">
        <is>
          <t>LNNCP Early-Warning Dashboard -- Methodology</t>
        </is>
      </c>
    </row>
    <row r="3">
      <c r="B3" t="inlineStr"/>
    </row>
    <row r="4">
      <c r="B4" t="inlineStr">
        <is>
          <t>This workbook is fully formula-driven (no macros). All statistics recalculate live in Excel</t>
        </is>
      </c>
    </row>
    <row r="5">
      <c r="B5" t="inlineStr">
        <is>
          <t>whenever you edit or append rows in Raw_Data / Analysis.</t>
        </is>
      </c>
    </row>
    <row r="6">
      <c r="B6" t="inlineStr"/>
    </row>
    <row r="7">
      <c r="B7" t="inlineStr">
        <is>
          <t>Sheets:</t>
        </is>
      </c>
    </row>
    <row r="8">
      <c r="B8" t="inlineStr">
        <is>
          <t xml:space="preserve">  Dashboard   - KPI summary, status distribution chart, control-band chart.</t>
        </is>
      </c>
    </row>
    <row r="9">
      <c r="B9" t="inlineStr">
        <is>
          <t xml:space="preserve">  Analysis    - one row per day, every statistical method computed as native Excel formulas.</t>
        </is>
      </c>
    </row>
    <row r="10">
      <c r="B10" t="inlineStr">
        <is>
          <t xml:space="preserve">  Alert_Log   - live filtered list of every day flagged WATCH / EARLY WARNING / CRITICAL,</t>
        </is>
      </c>
    </row>
    <row r="11">
      <c r="B11" t="inlineStr">
        <is>
          <t xml:space="preserve">                most recent first (uses FILTER + SORT + HSTACK).</t>
        </is>
      </c>
    </row>
    <row r="12">
      <c r="B12" t="inlineStr">
        <is>
          <t xml:space="preserve">  Raw_Data    - source series as loaded from anomaly_detection_input.csv.</t>
        </is>
      </c>
    </row>
    <row r="13">
      <c r="B13" t="inlineStr"/>
    </row>
    <row r="14">
      <c r="B14" t="inlineStr">
        <is>
          <t>Methods combined in the Analysis sheet (rolling 30-day window, 10-day minimum history):</t>
        </is>
      </c>
    </row>
    <row r="15">
      <c r="B15" t="inlineStr"/>
    </row>
    <row r="16">
      <c r="B16" t="inlineStr">
        <is>
          <t xml:space="preserve">  1. Shewhart control bands: UCL/LCL = rolling mean +/- 3 x rolling std dev.</t>
        </is>
      </c>
    </row>
    <row r="17">
      <c r="B17" t="inlineStr">
        <is>
          <t xml:space="preserve">  2. Z-Score: (value - rolling mean) / rolling std dev. |Z| &gt; 2 = early warning, |Z| &gt; 3 = critical.</t>
        </is>
      </c>
    </row>
    <row r="18">
      <c r="B18" t="inlineStr">
        <is>
          <t xml:space="preserve">  3. Robust Z-Score: 0.6745 x (value - rolling median) / MAD. Resistant to outliers skewing the</t>
        </is>
      </c>
    </row>
    <row r="19">
      <c r="B19" t="inlineStr">
        <is>
          <t xml:space="preserve">     mean/std themselves -- use this to sanity-check the classic Z-score during volatile periods.</t>
        </is>
      </c>
    </row>
    <row r="20">
      <c r="B20" t="inlineStr">
        <is>
          <t xml:space="preserve">  4. EWMA (lambda = 0.2): exponentially weighted smoothed level, with steady-state 3-sigma limits.</t>
        </is>
      </c>
    </row>
    <row r="21">
      <c r="B21" t="inlineStr">
        <is>
          <t xml:space="preserve">     Detects gradual drift that a single day's Z-score would miss.</t>
        </is>
      </c>
    </row>
    <row r="22">
      <c r="B22" t="inlineStr">
        <is>
          <t xml:space="preserve">  5. CUSUM (k = 0.5 sigma, h = 5 sigma): cumulative sum of small deviations from the rolling mean.</t>
        </is>
      </c>
    </row>
    <row r="23">
      <c r="B23" t="inlineStr">
        <is>
          <t xml:space="preserve">     Flags sustained small shifts in level long before any single day looks extreme.</t>
        </is>
      </c>
    </row>
    <row r="24">
      <c r="B24" t="inlineStr">
        <is>
          <t xml:space="preserve">  6. Consecutive-breach counter: counts consecutive days with |Z| &gt; 1 (Nelson-rule style).</t>
        </is>
      </c>
    </row>
    <row r="25">
      <c r="B25" t="inlineStr">
        <is>
          <t xml:space="preserve">     3+ consecutive mild breaches is treated as seriously as one large single-day breach.</t>
        </is>
      </c>
    </row>
    <row r="26">
      <c r="B26" t="inlineStr"/>
    </row>
    <row r="27">
      <c r="B27" t="inlineStr">
        <is>
          <t>Status tiering (Analysis!Q, combines all signals above):</t>
        </is>
      </c>
    </row>
    <row r="28">
      <c r="B28" t="inlineStr">
        <is>
          <t xml:space="preserve">  CRITICAL       - |Z| &gt; 3, OR CUSUM breaches 5-sigma, OR 5+ consecutive 1-sigma breaches.</t>
        </is>
      </c>
    </row>
    <row r="29">
      <c r="B29" t="inlineStr">
        <is>
          <t xml:space="preserve">  EARLY WARNING  - |Z| &gt; 2, OR |Robust Z| &gt; 3.5, OR 3+ consecutive 1-sigma breaches.</t>
        </is>
      </c>
    </row>
    <row r="30">
      <c r="B30" t="inlineStr">
        <is>
          <t xml:space="preserve">  WATCH          - |Z| &gt; 1.</t>
        </is>
      </c>
    </row>
    <row r="31">
      <c r="B31" t="inlineStr">
        <is>
          <t xml:space="preserve">  NORMAL         - otherwise.</t>
        </is>
      </c>
    </row>
    <row r="32">
      <c r="B32" t="inlineStr">
        <is>
          <t xml:space="preserve">  Insufficient History - first 9 observations, not enough data for a stable rolling window yet.</t>
        </is>
      </c>
    </row>
    <row r="33">
      <c r="B33" t="inlineStr"/>
    </row>
    <row r="34">
      <c r="B34" t="inlineStr">
        <is>
          <t>Tuning: WINDOW (30 days), MIN_PERIODS (10 days), and the thresholds above are judgment calls --</t>
        </is>
      </c>
    </row>
    <row r="35">
      <c r="B35" t="inlineStr">
        <is>
          <t>adjust them in the Analysis formulas to match how sensitive you want the alerts to be for this</t>
        </is>
      </c>
    </row>
    <row r="36">
      <c r="B36" t="inlineStr">
        <is>
          <t>series. Tighter thresholds catch smaller moves but raise more false alarms; looser thresholds do</t>
        </is>
      </c>
    </row>
    <row r="37">
      <c r="B37" t="inlineStr">
        <is>
          <t>the opposite.</t>
        </is>
      </c>
    </row>
    <row r="38">
      <c r="B38" t="inlineStr"/>
    </row>
    <row r="39">
      <c r="B39" t="inlineStr">
        <is>
          <t>Interpreting sign: lnncp values in this file are consistently negative. The statistics here treat</t>
        </is>
      </c>
    </row>
    <row r="40">
      <c r="B40" t="inlineStr">
        <is>
          <t>the series as-is (no transform) -- a Z-score/CUSUM alert fires on any large deviation from the</t>
        </is>
      </c>
    </row>
    <row r="41">
      <c r="B41" t="inlineStr">
        <is>
          <t>recent rolling average, in either direction (the value becoming much more negative, or much less</t>
        </is>
      </c>
    </row>
    <row r="42">
      <c r="B42" t="inlineStr">
        <is>
          <t>negative than recent history).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L20"/>
  <sheetViews>
    <sheetView showGridLines="0" workbookViewId="0">
      <selection activeCell="A1" sqref="A1"/>
    </sheetView>
  </sheetViews>
  <sheetFormatPr baseColWidth="8" defaultRowHeight="15"/>
  <cols>
    <col width="16" customWidth="1" min="2" max="2"/>
    <col width="16" customWidth="1" min="3" max="3"/>
    <col width="3" customWidth="1" min="4" max="4"/>
    <col width="16" customWidth="1" min="5" max="5"/>
    <col width="16" customWidth="1" min="6" max="6"/>
    <col width="3" customWidth="1" min="7" max="7"/>
    <col width="16" customWidth="1" min="8" max="8"/>
    <col width="16" customWidth="1" min="9" max="9"/>
    <col width="3" customWidth="1" min="10" max="10"/>
    <col width="16" customWidth="1" min="11" max="11"/>
    <col width="16" customWidth="1" min="12" max="12"/>
  </cols>
  <sheetData>
    <row r="2">
      <c r="B2" s="2" t="inlineStr">
        <is>
          <t>LNNCP Early-Warning Monitoring Dashboard</t>
        </is>
      </c>
    </row>
    <row r="3">
      <c r="B3" s="3" t="inlineStr">
        <is>
          <t>Statistical process-control early warning (rolling z-score, robust MAD z-score, EWMA, CUSUM)</t>
        </is>
      </c>
    </row>
    <row r="4">
      <c r="B4" s="3">
        <f>CONCAT("Data range: ",TEXT(INDEX(Analysis!A:A,2),"dd-mmm-yyyy")," to ",TEXT(INDEX(Analysis!A:A,COUNTA(Analysis!A:A)),"dd-mmm-yyyy")," | ",COUNTA(Analysis!A:A)-1," observations")</f>
        <v/>
      </c>
    </row>
    <row r="6">
      <c r="B6" s="4" t="inlineStr">
        <is>
          <t>Latest Date</t>
        </is>
      </c>
      <c r="C6" s="5" t="n"/>
      <c r="E6" s="4" t="inlineStr">
        <is>
          <t>Latest Value</t>
        </is>
      </c>
      <c r="F6" s="5" t="n"/>
      <c r="H6" s="4" t="inlineStr">
        <is>
          <t>Latest Status</t>
        </is>
      </c>
      <c r="I6" s="5" t="n"/>
      <c r="K6" s="4" t="inlineStr">
        <is>
          <t>Latest Z-Score</t>
        </is>
      </c>
      <c r="L6" s="5" t="n"/>
    </row>
    <row r="7">
      <c r="B7" s="6">
        <f>INDEX(Analysis!A:A,COUNTA(Analysis!A:A))</f>
        <v/>
      </c>
      <c r="C7" s="5" t="n"/>
      <c r="E7" s="7">
        <f>INDEX(Analysis!B:B,COUNTA(Analysis!A:A))</f>
        <v/>
      </c>
      <c r="F7" s="5" t="n"/>
      <c r="H7" s="8">
        <f>INDEX(Analysis!Q:Q,COUNTA(Analysis!A:A))</f>
        <v/>
      </c>
      <c r="I7" s="5" t="n"/>
      <c r="K7" s="9">
        <f>INDEX(Analysis!G:G,COUNTA(Analysis!A:A))</f>
        <v/>
      </c>
      <c r="L7" s="5" t="n"/>
    </row>
    <row r="10">
      <c r="B10" s="4" t="inlineStr">
        <is>
          <t>Days Since Last Critical</t>
        </is>
      </c>
      <c r="C10" s="5" t="n"/>
      <c r="E10" s="4" t="inlineStr">
        <is>
          <t>Critical Alerts (All-Time)</t>
        </is>
      </c>
      <c r="F10" s="5" t="n"/>
      <c r="H10" s="4" t="inlineStr">
        <is>
          <t>Early Warnings (All-Time)</t>
        </is>
      </c>
      <c r="I10" s="5" t="n"/>
      <c r="K10" s="4" t="inlineStr">
        <is>
          <t>Alerts in Last 90 Days</t>
        </is>
      </c>
      <c r="L10" s="5" t="n"/>
    </row>
    <row r="11">
      <c r="B11" s="8">
        <f>IF(COUNTIF(Analysis!Q:Q,"CRITICAL")=0,"None yet",INDEX(Analysis!A:A,COUNTA(Analysis!A:A))-MAXIFS(Analysis!A2:A644,Analysis!Q2:Q644,"CRITICAL"))</f>
        <v/>
      </c>
      <c r="C11" s="5" t="n"/>
      <c r="E11" s="10">
        <f>COUNTIF(Analysis!Q:Q,"CRITICAL")</f>
        <v/>
      </c>
      <c r="F11" s="5" t="n"/>
      <c r="H11" s="10">
        <f>COUNTIF(Analysis!Q:Q,"EARLY WARNING")</f>
        <v/>
      </c>
      <c r="I11" s="5" t="n"/>
      <c r="K11" s="10">
        <f>COUNTIFS(Analysis!A:A,"&gt;="&amp;(INDEX(Analysis!A:A,COUNTA(Analysis!A:A))-90),Analysis!Q:Q,"CRITICAL")+COUNTIFS(Analysis!A:A,"&gt;="&amp;(INDEX(Analysis!A:A,COUNTA(Analysis!A:A))-90),Analysis!Q:Q,"EARLY WARNING")</f>
        <v/>
      </c>
      <c r="L11" s="5" t="n"/>
    </row>
    <row r="14">
      <c r="B14" s="4" t="inlineStr">
        <is>
          <t>14-Day EWMA Trend</t>
        </is>
      </c>
      <c r="C14" s="5" t="n"/>
    </row>
    <row r="15">
      <c r="B15" s="8">
        <f>IF(INDEX(Analysis!K:K,COUNTA(Analysis!A:A))&gt;INDEX(Analysis!K:K,COUNTA(Analysis!A:A)-14),"Rising",IF(INDEX(Analysis!K:K,COUNTA(Analysis!A:A))&lt;INDEX(Analysis!K:K,COUNTA(Analysis!A:A)-14),"Falling","Stable"))</f>
        <v/>
      </c>
      <c r="C15" s="5" t="n"/>
    </row>
    <row r="16">
      <c r="B16" s="11" t="inlineStr">
        <is>
          <t>Status</t>
        </is>
      </c>
      <c r="C16" s="11" t="inlineStr">
        <is>
          <t>Count (All-Time)</t>
        </is>
      </c>
    </row>
    <row r="17">
      <c r="B17" t="inlineStr">
        <is>
          <t>NORMAL</t>
        </is>
      </c>
      <c r="C17">
        <f>COUNTIF(Analysis!Q:Q,"NORMAL")</f>
        <v/>
      </c>
    </row>
    <row r="18">
      <c r="B18" t="inlineStr">
        <is>
          <t>WATCH</t>
        </is>
      </c>
      <c r="C18">
        <f>COUNTIF(Analysis!Q:Q,"WATCH")</f>
        <v/>
      </c>
    </row>
    <row r="19">
      <c r="B19" t="inlineStr">
        <is>
          <t>EARLY WARNING</t>
        </is>
      </c>
      <c r="C19">
        <f>COUNTIF(Analysis!Q:Q,"EARLY WARNING")</f>
        <v/>
      </c>
    </row>
    <row r="20">
      <c r="B20" t="inlineStr">
        <is>
          <t>CRITICAL</t>
        </is>
      </c>
      <c r="C20">
        <f>COUNTIF(Analysis!Q:Q,"CRITICAL")</f>
        <v/>
      </c>
    </row>
  </sheetData>
  <conditionalFormatting sqref="H7">
    <cfRule type="cellIs" priority="1" operator="equal" dxfId="0">
      <formula>"NORMAL"</formula>
    </cfRule>
    <cfRule type="cellIs" priority="2" operator="equal" dxfId="1">
      <formula>"WATCH"</formula>
    </cfRule>
    <cfRule type="cellIs" priority="3" operator="equal" dxfId="2">
      <formula>"EARLY WARNING"</formula>
    </cfRule>
    <cfRule type="cellIs" priority="4" operator="equal" dxfId="3">
      <formula>"CRITICAL"</formula>
    </cfRule>
    <cfRule type="cellIs" priority="5" operator="equal" dxfId="4">
      <formula>"Insufficient History"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1" t="inlineStr">
        <is>
          <t>Date</t>
        </is>
      </c>
      <c r="B1" s="11" t="inlineStr">
        <is>
          <t>lnncp</t>
        </is>
      </c>
    </row>
    <row r="2">
      <c r="A2" s="12" t="n">
        <v>45027</v>
      </c>
      <c r="B2" s="13" t="n">
        <v>-5112.21</v>
      </c>
    </row>
    <row r="3">
      <c r="A3" s="12" t="n">
        <v>45028</v>
      </c>
      <c r="B3" s="13" t="n">
        <v>-13758.91</v>
      </c>
    </row>
    <row r="4">
      <c r="A4" s="12" t="n">
        <v>45029</v>
      </c>
      <c r="B4" s="13" t="n">
        <v>-1122.35</v>
      </c>
    </row>
    <row r="5">
      <c r="A5" s="12" t="n">
        <v>45030</v>
      </c>
      <c r="B5" s="13" t="n">
        <v>-8569.059999999999</v>
      </c>
    </row>
    <row r="6">
      <c r="A6" s="12" t="n">
        <v>45031</v>
      </c>
      <c r="B6" s="13" t="n">
        <v>-781.6799999999999</v>
      </c>
    </row>
    <row r="7">
      <c r="A7" s="12" t="n">
        <v>45032</v>
      </c>
      <c r="B7" s="13" t="n">
        <v>-1021.88</v>
      </c>
    </row>
    <row r="8">
      <c r="A8" s="12" t="n">
        <v>45033</v>
      </c>
      <c r="B8" s="13" t="n">
        <v>-1528.81</v>
      </c>
    </row>
    <row r="9">
      <c r="A9" s="12" t="n">
        <v>45034</v>
      </c>
      <c r="B9" s="13" t="n">
        <v>-189.69</v>
      </c>
    </row>
    <row r="10">
      <c r="A10" s="12" t="n">
        <v>45035</v>
      </c>
      <c r="B10" s="13" t="n">
        <v>-299.93</v>
      </c>
    </row>
    <row r="11">
      <c r="A11" s="12" t="n">
        <v>45036</v>
      </c>
      <c r="B11" s="13" t="n">
        <v>-3465.54</v>
      </c>
    </row>
    <row r="12">
      <c r="A12" s="12" t="n">
        <v>45037</v>
      </c>
      <c r="B12" s="13" t="n">
        <v>-5109.97</v>
      </c>
    </row>
    <row r="13">
      <c r="A13" s="12" t="n">
        <v>45038</v>
      </c>
      <c r="B13" s="13" t="n">
        <v>-5750.89</v>
      </c>
    </row>
    <row r="14">
      <c r="A14" s="12" t="n">
        <v>45039</v>
      </c>
      <c r="B14" s="13" t="n">
        <v>-9146.190000000001</v>
      </c>
    </row>
    <row r="15">
      <c r="A15" s="12" t="n">
        <v>45040</v>
      </c>
      <c r="B15" s="13" t="n">
        <v>-8974.93</v>
      </c>
    </row>
    <row r="16">
      <c r="A16" s="12" t="n">
        <v>45041</v>
      </c>
      <c r="B16" s="13" t="n">
        <v>-1402.5</v>
      </c>
    </row>
    <row r="17">
      <c r="A17" s="12" t="n">
        <v>45042</v>
      </c>
      <c r="B17" s="13" t="n">
        <v>-1930.96</v>
      </c>
    </row>
    <row r="18">
      <c r="A18" s="12" t="n">
        <v>45043</v>
      </c>
      <c r="B18" s="13" t="n">
        <v>-673.35</v>
      </c>
    </row>
    <row r="19">
      <c r="A19" s="12" t="n">
        <v>45044</v>
      </c>
      <c r="B19" s="13" t="n">
        <v>-2686.52</v>
      </c>
    </row>
    <row r="20">
      <c r="A20" s="12" t="n">
        <v>45045</v>
      </c>
      <c r="B20" s="13" t="n">
        <v>-1772.06</v>
      </c>
    </row>
    <row r="21">
      <c r="A21" s="12" t="n">
        <v>45046</v>
      </c>
      <c r="B21" s="13" t="n">
        <v>-1351.69</v>
      </c>
    </row>
    <row r="22">
      <c r="A22" s="12" t="n">
        <v>45047</v>
      </c>
      <c r="B22" s="13" t="n">
        <v>-9823.639999999999</v>
      </c>
    </row>
    <row r="23">
      <c r="A23" s="12" t="n">
        <v>45048</v>
      </c>
      <c r="B23" s="13" t="n">
        <v>-9690.15</v>
      </c>
    </row>
    <row r="24">
      <c r="A24" s="12" t="n">
        <v>45049</v>
      </c>
      <c r="B24" s="13" t="n">
        <v>-399</v>
      </c>
    </row>
    <row r="25">
      <c r="A25" s="12" t="n">
        <v>45050</v>
      </c>
      <c r="B25" s="13" t="n">
        <v>-5764.72</v>
      </c>
    </row>
    <row r="26">
      <c r="A26" s="12" t="n">
        <v>45051</v>
      </c>
      <c r="B26" s="13" t="n">
        <v>-900.61</v>
      </c>
    </row>
    <row r="27">
      <c r="A27" s="12" t="n">
        <v>45052</v>
      </c>
      <c r="B27" s="13" t="n">
        <v>-4875.86</v>
      </c>
    </row>
    <row r="28">
      <c r="A28" s="12" t="n">
        <v>45053</v>
      </c>
      <c r="B28" s="13" t="n">
        <v>-7914.88</v>
      </c>
    </row>
    <row r="29">
      <c r="A29" s="12" t="n">
        <v>45054</v>
      </c>
      <c r="B29" s="13" t="n">
        <v>-1019.39</v>
      </c>
    </row>
    <row r="30">
      <c r="A30" s="12" t="n">
        <v>45055</v>
      </c>
      <c r="B30" s="13" t="n">
        <v>-4323.66</v>
      </c>
    </row>
    <row r="31">
      <c r="A31" s="12" t="n">
        <v>45056</v>
      </c>
      <c r="B31" s="13" t="n">
        <v>-14214.48</v>
      </c>
    </row>
    <row r="32">
      <c r="A32" s="12" t="n">
        <v>45057</v>
      </c>
      <c r="B32" s="13" t="n">
        <v>-241.79</v>
      </c>
    </row>
    <row r="33">
      <c r="A33" s="12" t="n">
        <v>45058</v>
      </c>
      <c r="B33" s="13" t="n">
        <v>-868.61</v>
      </c>
    </row>
    <row r="34">
      <c r="A34" s="12" t="n">
        <v>45059</v>
      </c>
      <c r="B34" s="13" t="n">
        <v>-4673.28</v>
      </c>
    </row>
    <row r="35">
      <c r="A35" s="12" t="n">
        <v>45060</v>
      </c>
      <c r="B35" s="13" t="n">
        <v>-1509.27</v>
      </c>
    </row>
    <row r="36">
      <c r="A36" s="12" t="n">
        <v>45061</v>
      </c>
      <c r="B36" s="13" t="n">
        <v>-781.7</v>
      </c>
    </row>
    <row r="37">
      <c r="A37" s="12" t="n">
        <v>45062</v>
      </c>
      <c r="B37" s="13" t="n">
        <v>-265.51</v>
      </c>
    </row>
    <row r="38">
      <c r="A38" s="12" t="n">
        <v>45063</v>
      </c>
      <c r="B38" s="13" t="n">
        <v>-5183.85</v>
      </c>
    </row>
    <row r="39">
      <c r="A39" s="12" t="n">
        <v>45064</v>
      </c>
      <c r="B39" s="13" t="n">
        <v>-14904.9</v>
      </c>
    </row>
    <row r="40">
      <c r="A40" s="12" t="n">
        <v>45065</v>
      </c>
      <c r="B40" s="13" t="n">
        <v>-918.88</v>
      </c>
    </row>
    <row r="41">
      <c r="A41" s="12" t="n">
        <v>45066</v>
      </c>
      <c r="B41" s="13" t="n">
        <v>-4477.78</v>
      </c>
    </row>
    <row r="42">
      <c r="A42" s="12" t="n">
        <v>45067</v>
      </c>
      <c r="B42" s="13" t="n">
        <v>-1324.03</v>
      </c>
    </row>
    <row r="43">
      <c r="A43" s="12" t="n">
        <v>45068</v>
      </c>
      <c r="B43" s="13" t="n">
        <v>-5630.61</v>
      </c>
    </row>
    <row r="44">
      <c r="A44" s="12" t="n">
        <v>45069</v>
      </c>
      <c r="B44" s="13" t="n">
        <v>-930.3</v>
      </c>
    </row>
    <row r="45">
      <c r="A45" s="12" t="n">
        <v>45070</v>
      </c>
      <c r="B45" s="13" t="n">
        <v>-5499.91</v>
      </c>
    </row>
    <row r="46">
      <c r="A46" s="12" t="n">
        <v>45071</v>
      </c>
      <c r="B46" s="13" t="n">
        <v>-4175.02</v>
      </c>
    </row>
    <row r="47">
      <c r="A47" s="12" t="n">
        <v>45072</v>
      </c>
      <c r="B47" s="13" t="n">
        <v>-6651.62</v>
      </c>
    </row>
    <row r="48">
      <c r="A48" s="12" t="n">
        <v>45073</v>
      </c>
      <c r="B48" s="13" t="n">
        <v>-13988.12</v>
      </c>
    </row>
    <row r="49">
      <c r="A49" s="12" t="n">
        <v>45074</v>
      </c>
      <c r="B49" s="13" t="n">
        <v>-3014.75</v>
      </c>
    </row>
    <row r="50">
      <c r="A50" s="12" t="n">
        <v>45075</v>
      </c>
      <c r="B50" s="13" t="n">
        <v>-1951.42</v>
      </c>
    </row>
    <row r="51">
      <c r="A51" s="12" t="n">
        <v>45076</v>
      </c>
      <c r="B51" s="13" t="n">
        <v>-3846.28</v>
      </c>
    </row>
    <row r="52">
      <c r="A52" s="12" t="n">
        <v>45077</v>
      </c>
      <c r="B52" s="13" t="n">
        <v>-6374.82</v>
      </c>
    </row>
    <row r="53">
      <c r="A53" s="12" t="n">
        <v>45078</v>
      </c>
      <c r="B53" s="13" t="n">
        <v>-5866.01</v>
      </c>
    </row>
    <row r="54">
      <c r="A54" s="12" t="n">
        <v>45079</v>
      </c>
      <c r="B54" s="13" t="n">
        <v>-605.95</v>
      </c>
    </row>
    <row r="55">
      <c r="A55" s="12" t="n">
        <v>45080</v>
      </c>
      <c r="B55" s="13" t="n">
        <v>-6689.87</v>
      </c>
    </row>
    <row r="56">
      <c r="A56" s="12" t="n">
        <v>45081</v>
      </c>
      <c r="B56" s="13" t="n">
        <v>-634.17</v>
      </c>
    </row>
    <row r="57">
      <c r="A57" s="12" t="n">
        <v>45082</v>
      </c>
      <c r="B57" s="13" t="n">
        <v>-14676.05</v>
      </c>
    </row>
    <row r="58">
      <c r="A58" s="12" t="n">
        <v>45083</v>
      </c>
      <c r="B58" s="13" t="n">
        <v>-1362.39</v>
      </c>
    </row>
    <row r="59">
      <c r="A59" s="12" t="n">
        <v>45084</v>
      </c>
      <c r="B59" s="13" t="n">
        <v>-10528.34</v>
      </c>
    </row>
    <row r="60">
      <c r="A60" s="12" t="n">
        <v>45085</v>
      </c>
      <c r="B60" s="13" t="n">
        <v>-552.52</v>
      </c>
    </row>
    <row r="61">
      <c r="A61" s="12" t="n">
        <v>45086</v>
      </c>
      <c r="B61" s="13" t="n">
        <v>-4715.84</v>
      </c>
    </row>
    <row r="62">
      <c r="A62" s="12" t="n">
        <v>45087</v>
      </c>
      <c r="B62" s="13" t="n">
        <v>-7176.86</v>
      </c>
    </row>
    <row r="63">
      <c r="A63" s="12" t="n">
        <v>45088</v>
      </c>
      <c r="B63" s="13" t="n">
        <v>-1523.72</v>
      </c>
    </row>
    <row r="64">
      <c r="A64" s="12" t="n">
        <v>45089</v>
      </c>
      <c r="B64" s="13" t="n">
        <v>-9869.93</v>
      </c>
    </row>
    <row r="65">
      <c r="A65" s="12" t="n">
        <v>45090</v>
      </c>
      <c r="B65" s="13" t="n">
        <v>-10556.81</v>
      </c>
    </row>
    <row r="66">
      <c r="A66" s="12" t="n">
        <v>45091</v>
      </c>
      <c r="B66" s="13" t="n">
        <v>-791.65</v>
      </c>
    </row>
    <row r="67">
      <c r="A67" s="12" t="n">
        <v>45092</v>
      </c>
      <c r="B67" s="13" t="n">
        <v>-2929.91</v>
      </c>
    </row>
    <row r="68">
      <c r="A68" s="12" t="n">
        <v>45093</v>
      </c>
      <c r="B68" s="13" t="n">
        <v>-618.05</v>
      </c>
    </row>
    <row r="69">
      <c r="A69" s="12" t="n">
        <v>45094</v>
      </c>
      <c r="B69" s="13" t="n">
        <v>-1375.8</v>
      </c>
    </row>
    <row r="70">
      <c r="A70" s="12" t="n">
        <v>45095</v>
      </c>
      <c r="B70" s="13" t="n">
        <v>-1143.52</v>
      </c>
    </row>
    <row r="71">
      <c r="A71" s="12" t="n">
        <v>45096</v>
      </c>
      <c r="B71" s="13" t="n">
        <v>-201.04</v>
      </c>
    </row>
    <row r="72">
      <c r="A72" s="12" t="n">
        <v>45097</v>
      </c>
      <c r="B72" s="13" t="n">
        <v>-2115.8</v>
      </c>
    </row>
    <row r="73">
      <c r="A73" s="12" t="n">
        <v>45098</v>
      </c>
      <c r="B73" s="13" t="n">
        <v>-7643.66</v>
      </c>
    </row>
    <row r="74">
      <c r="A74" s="12" t="n">
        <v>45099</v>
      </c>
      <c r="B74" s="13" t="n">
        <v>-8901.93</v>
      </c>
    </row>
    <row r="75">
      <c r="A75" s="12" t="n">
        <v>45100</v>
      </c>
      <c r="B75" s="13" t="n">
        <v>-9418.860000000001</v>
      </c>
    </row>
    <row r="76">
      <c r="A76" s="12" t="n">
        <v>45101</v>
      </c>
      <c r="B76" s="13" t="n">
        <v>-7954.92</v>
      </c>
    </row>
    <row r="77">
      <c r="A77" s="12" t="n">
        <v>45102</v>
      </c>
      <c r="B77" s="13" t="n">
        <v>-9418.08</v>
      </c>
    </row>
    <row r="78">
      <c r="A78" s="12" t="n">
        <v>45103</v>
      </c>
      <c r="B78" s="13" t="n">
        <v>-6144.68</v>
      </c>
    </row>
    <row r="79">
      <c r="A79" s="12" t="n">
        <v>45104</v>
      </c>
      <c r="B79" s="13" t="n">
        <v>-420.65</v>
      </c>
    </row>
    <row r="80">
      <c r="A80" s="12" t="n">
        <v>45105</v>
      </c>
      <c r="B80" s="13" t="n">
        <v>-447.82</v>
      </c>
    </row>
    <row r="81">
      <c r="A81" s="12" t="n">
        <v>45106</v>
      </c>
      <c r="B81" s="13" t="n">
        <v>-7981.45</v>
      </c>
    </row>
    <row r="82">
      <c r="A82" s="12" t="n">
        <v>45107</v>
      </c>
      <c r="B82" s="13" t="n">
        <v>-1829.9</v>
      </c>
    </row>
    <row r="83">
      <c r="A83" s="12" t="n">
        <v>45108</v>
      </c>
      <c r="B83" s="13" t="n">
        <v>-985.0599999999999</v>
      </c>
    </row>
    <row r="84">
      <c r="A84" s="12" t="n">
        <v>45109</v>
      </c>
      <c r="B84" s="13" t="n">
        <v>-480.16</v>
      </c>
    </row>
    <row r="85">
      <c r="A85" s="12" t="n">
        <v>45110</v>
      </c>
      <c r="B85" s="13" t="n">
        <v>-12145.27</v>
      </c>
    </row>
    <row r="86">
      <c r="A86" s="12" t="n">
        <v>45111</v>
      </c>
      <c r="B86" s="13" t="n">
        <v>-8346.639999999999</v>
      </c>
    </row>
    <row r="87">
      <c r="A87" s="12" t="n">
        <v>45112</v>
      </c>
      <c r="B87" s="13" t="n">
        <v>-6481.04</v>
      </c>
    </row>
    <row r="88">
      <c r="A88" s="12" t="n">
        <v>45113</v>
      </c>
      <c r="B88" s="13" t="n">
        <v>-1651.33</v>
      </c>
    </row>
    <row r="89">
      <c r="A89" s="12" t="n">
        <v>45114</v>
      </c>
      <c r="B89" s="13" t="n">
        <v>-145.5</v>
      </c>
    </row>
    <row r="90">
      <c r="A90" s="12" t="n">
        <v>45115</v>
      </c>
      <c r="B90" s="13" t="n">
        <v>-4172.57</v>
      </c>
    </row>
    <row r="91">
      <c r="A91" s="12" t="n">
        <v>45116</v>
      </c>
      <c r="B91" s="13" t="n">
        <v>-5558.36</v>
      </c>
    </row>
    <row r="92">
      <c r="A92" s="12" t="n">
        <v>45117</v>
      </c>
      <c r="B92" s="13" t="n">
        <v>-1415.52</v>
      </c>
    </row>
    <row r="93">
      <c r="A93" s="12" t="n">
        <v>45118</v>
      </c>
      <c r="B93" s="13" t="n">
        <v>-1103.64</v>
      </c>
    </row>
    <row r="94">
      <c r="A94" s="12" t="n">
        <v>45119</v>
      </c>
      <c r="B94" s="13" t="n">
        <v>-303.68</v>
      </c>
    </row>
    <row r="95">
      <c r="A95" s="12" t="n">
        <v>45120</v>
      </c>
      <c r="B95" s="13" t="n">
        <v>-5541.57</v>
      </c>
    </row>
    <row r="96">
      <c r="A96" s="12" t="n">
        <v>45121</v>
      </c>
      <c r="B96" s="13" t="n">
        <v>-6309.8</v>
      </c>
    </row>
    <row r="97">
      <c r="A97" s="12" t="n">
        <v>45122</v>
      </c>
      <c r="B97" s="13" t="n">
        <v>-9344.98</v>
      </c>
    </row>
    <row r="98">
      <c r="A98" s="12" t="n">
        <v>45123</v>
      </c>
      <c r="B98" s="13" t="n">
        <v>-11835.35</v>
      </c>
    </row>
    <row r="99">
      <c r="A99" s="12" t="n">
        <v>45124</v>
      </c>
      <c r="B99" s="13" t="n">
        <v>-14401.17</v>
      </c>
    </row>
    <row r="100">
      <c r="A100" s="12" t="n">
        <v>45125</v>
      </c>
      <c r="B100" s="13" t="n">
        <v>-1748.69</v>
      </c>
    </row>
    <row r="101">
      <c r="A101" s="12" t="n">
        <v>45126</v>
      </c>
      <c r="B101" s="13" t="n">
        <v>-1000.46</v>
      </c>
    </row>
    <row r="102">
      <c r="A102" s="12" t="n">
        <v>45127</v>
      </c>
      <c r="B102" s="13" t="n">
        <v>-6810.05</v>
      </c>
    </row>
    <row r="103">
      <c r="A103" s="12" t="n">
        <v>45128</v>
      </c>
      <c r="B103" s="13" t="n">
        <v>-263.98</v>
      </c>
    </row>
    <row r="104">
      <c r="A104" s="12" t="n">
        <v>45129</v>
      </c>
      <c r="B104" s="13" t="n">
        <v>-5442.76</v>
      </c>
    </row>
    <row r="105">
      <c r="A105" s="12" t="n">
        <v>45130</v>
      </c>
      <c r="B105" s="13" t="n">
        <v>-2037.85</v>
      </c>
    </row>
    <row r="106">
      <c r="A106" s="12" t="n">
        <v>45131</v>
      </c>
      <c r="B106" s="13" t="n">
        <v>-341.94</v>
      </c>
    </row>
    <row r="107">
      <c r="A107" s="12" t="n">
        <v>45132</v>
      </c>
      <c r="B107" s="13" t="n">
        <v>-1659.15</v>
      </c>
    </row>
    <row r="108">
      <c r="A108" s="12" t="n">
        <v>45133</v>
      </c>
      <c r="B108" s="13" t="n">
        <v>-2042.22</v>
      </c>
    </row>
    <row r="109">
      <c r="A109" s="12" t="n">
        <v>45134</v>
      </c>
      <c r="B109" s="13" t="n">
        <v>-421.93</v>
      </c>
    </row>
    <row r="110">
      <c r="A110" s="12" t="n">
        <v>45135</v>
      </c>
      <c r="B110" s="13" t="n">
        <v>-10113.66</v>
      </c>
    </row>
    <row r="111">
      <c r="A111" s="12" t="n">
        <v>45136</v>
      </c>
      <c r="B111" s="13" t="n">
        <v>-4446.17</v>
      </c>
    </row>
    <row r="112">
      <c r="A112" s="12" t="n">
        <v>45137</v>
      </c>
      <c r="B112" s="13" t="n">
        <v>-6452.77</v>
      </c>
    </row>
    <row r="113">
      <c r="A113" s="12" t="n">
        <v>45138</v>
      </c>
      <c r="B113" s="13" t="n">
        <v>-596.16</v>
      </c>
    </row>
    <row r="114">
      <c r="A114" s="12" t="n">
        <v>45139</v>
      </c>
      <c r="B114" s="13" t="n">
        <v>-12904.66</v>
      </c>
    </row>
    <row r="115">
      <c r="A115" s="12" t="n">
        <v>45140</v>
      </c>
      <c r="B115" s="13" t="n">
        <v>-9062.4</v>
      </c>
    </row>
    <row r="116">
      <c r="A116" s="12" t="n">
        <v>45141</v>
      </c>
      <c r="B116" s="13" t="n">
        <v>-611.86</v>
      </c>
    </row>
    <row r="117">
      <c r="A117" s="12" t="n">
        <v>45142</v>
      </c>
      <c r="B117" s="13" t="n">
        <v>-8670.530000000001</v>
      </c>
    </row>
    <row r="118">
      <c r="A118" s="12" t="n">
        <v>45143</v>
      </c>
      <c r="B118" s="13" t="n">
        <v>-5307.74</v>
      </c>
    </row>
    <row r="119">
      <c r="A119" s="12" t="n">
        <v>45144</v>
      </c>
      <c r="B119" s="13" t="n">
        <v>-6921.48</v>
      </c>
    </row>
    <row r="120">
      <c r="A120" s="12" t="n">
        <v>45145</v>
      </c>
      <c r="B120" s="13" t="n">
        <v>-1475.46</v>
      </c>
    </row>
    <row r="121">
      <c r="A121" s="12" t="n">
        <v>45146</v>
      </c>
      <c r="B121" s="13" t="n">
        <v>-112.76</v>
      </c>
    </row>
    <row r="122">
      <c r="A122" s="12" t="n">
        <v>45147</v>
      </c>
      <c r="B122" s="13" t="n">
        <v>-5669.66</v>
      </c>
    </row>
    <row r="123">
      <c r="A123" s="12" t="n">
        <v>45148</v>
      </c>
      <c r="B123" s="13" t="n">
        <v>-4057.1</v>
      </c>
    </row>
    <row r="124">
      <c r="A124" s="12" t="n">
        <v>45149</v>
      </c>
      <c r="B124" s="13" t="n">
        <v>-1585.98</v>
      </c>
    </row>
    <row r="125">
      <c r="A125" s="12" t="n">
        <v>45150</v>
      </c>
      <c r="B125" s="13" t="n">
        <v>-6825.55</v>
      </c>
    </row>
    <row r="126">
      <c r="A126" s="12" t="n">
        <v>45151</v>
      </c>
      <c r="B126" s="13" t="n">
        <v>-5516.5</v>
      </c>
    </row>
    <row r="127">
      <c r="A127" s="12" t="n">
        <v>45152</v>
      </c>
      <c r="B127" s="13" t="n">
        <v>-5343.3</v>
      </c>
    </row>
    <row r="128">
      <c r="A128" s="12" t="n">
        <v>45153</v>
      </c>
      <c r="B128" s="13" t="n">
        <v>-903.05</v>
      </c>
    </row>
    <row r="129">
      <c r="A129" s="12" t="n">
        <v>45154</v>
      </c>
      <c r="B129" s="13" t="n">
        <v>-1806.16</v>
      </c>
    </row>
    <row r="130">
      <c r="A130" s="12" t="n">
        <v>45155</v>
      </c>
      <c r="B130" s="13" t="n">
        <v>-787.74</v>
      </c>
    </row>
    <row r="131">
      <c r="A131" s="12" t="n">
        <v>45156</v>
      </c>
      <c r="B131" s="13" t="n">
        <v>-2429.68</v>
      </c>
    </row>
    <row r="132">
      <c r="A132" s="12" t="n">
        <v>45157</v>
      </c>
      <c r="B132" s="13" t="n">
        <v>-770.37</v>
      </c>
    </row>
    <row r="133">
      <c r="A133" s="12" t="n">
        <v>45158</v>
      </c>
      <c r="B133" s="13" t="n">
        <v>-1182.77</v>
      </c>
    </row>
    <row r="134">
      <c r="A134" s="12" t="n">
        <v>45159</v>
      </c>
      <c r="B134" s="13" t="n">
        <v>-14464.3</v>
      </c>
    </row>
    <row r="135">
      <c r="A135" s="12" t="n">
        <v>45160</v>
      </c>
      <c r="B135" s="13" t="n">
        <v>-12046.3</v>
      </c>
    </row>
    <row r="136">
      <c r="A136" s="12" t="n">
        <v>45161</v>
      </c>
      <c r="B136" s="13" t="n">
        <v>-7885.64</v>
      </c>
    </row>
    <row r="137">
      <c r="A137" s="12" t="n">
        <v>45162</v>
      </c>
      <c r="B137" s="13" t="n">
        <v>-7328.52</v>
      </c>
    </row>
    <row r="138">
      <c r="A138" s="12" t="n">
        <v>45163</v>
      </c>
      <c r="B138" s="13" t="n">
        <v>-3210.39</v>
      </c>
    </row>
    <row r="139">
      <c r="A139" s="12" t="n">
        <v>45164</v>
      </c>
      <c r="B139" s="13" t="n">
        <v>-5726.2</v>
      </c>
    </row>
    <row r="140">
      <c r="A140" s="12" t="n">
        <v>45165</v>
      </c>
      <c r="B140" s="13" t="n">
        <v>-1363.65</v>
      </c>
    </row>
    <row r="141">
      <c r="A141" s="12" t="n">
        <v>45166</v>
      </c>
      <c r="B141" s="13" t="n">
        <v>-7873.28</v>
      </c>
    </row>
    <row r="142">
      <c r="A142" s="12" t="n">
        <v>45167</v>
      </c>
      <c r="B142" s="13" t="n">
        <v>-5674.32</v>
      </c>
    </row>
    <row r="143">
      <c r="A143" s="12" t="n">
        <v>45168</v>
      </c>
      <c r="B143" s="13" t="n">
        <v>-7486.63</v>
      </c>
    </row>
    <row r="144">
      <c r="A144" s="12" t="n">
        <v>45169</v>
      </c>
      <c r="B144" s="13" t="n">
        <v>-7264.79</v>
      </c>
    </row>
    <row r="145">
      <c r="A145" s="12" t="n">
        <v>45170</v>
      </c>
      <c r="B145" s="13" t="n">
        <v>-2762.48</v>
      </c>
    </row>
    <row r="146">
      <c r="A146" s="12" t="n">
        <v>45171</v>
      </c>
      <c r="B146" s="13" t="n">
        <v>-6675.03</v>
      </c>
    </row>
    <row r="147">
      <c r="A147" s="12" t="n">
        <v>45172</v>
      </c>
      <c r="B147" s="13" t="n">
        <v>-7432.99</v>
      </c>
    </row>
    <row r="148">
      <c r="A148" s="12" t="n">
        <v>45173</v>
      </c>
      <c r="B148" s="13" t="n">
        <v>-1057</v>
      </c>
    </row>
    <row r="149">
      <c r="A149" s="12" t="n">
        <v>45174</v>
      </c>
      <c r="B149" s="13" t="n">
        <v>-5956.89</v>
      </c>
    </row>
    <row r="150">
      <c r="A150" s="12" t="n">
        <v>45175</v>
      </c>
      <c r="B150" s="13" t="n">
        <v>-7261.59</v>
      </c>
    </row>
    <row r="151">
      <c r="A151" s="12" t="n">
        <v>45176</v>
      </c>
      <c r="B151" s="13" t="n">
        <v>-4943.16</v>
      </c>
    </row>
    <row r="152">
      <c r="A152" s="12" t="n">
        <v>45177</v>
      </c>
      <c r="B152" s="13" t="n">
        <v>-8127.48</v>
      </c>
    </row>
    <row r="153">
      <c r="A153" s="12" t="n">
        <v>45178</v>
      </c>
      <c r="B153" s="13" t="n">
        <v>-1748.02</v>
      </c>
    </row>
    <row r="154">
      <c r="A154" s="12" t="n">
        <v>45179</v>
      </c>
      <c r="B154" s="13" t="n">
        <v>-9660.219999999999</v>
      </c>
    </row>
    <row r="155">
      <c r="A155" s="12" t="n">
        <v>45180</v>
      </c>
      <c r="B155" s="13" t="n">
        <v>-6371.51</v>
      </c>
    </row>
    <row r="156">
      <c r="A156" s="12" t="n">
        <v>45181</v>
      </c>
      <c r="B156" s="13" t="n">
        <v>-9442.469999999999</v>
      </c>
    </row>
    <row r="157">
      <c r="A157" s="12" t="n">
        <v>45182</v>
      </c>
      <c r="B157" s="13" t="n">
        <v>-13531.22</v>
      </c>
    </row>
    <row r="158">
      <c r="A158" s="12" t="n">
        <v>45183</v>
      </c>
      <c r="B158" s="13" t="n">
        <v>-11500.62</v>
      </c>
    </row>
    <row r="159">
      <c r="A159" s="12" t="n">
        <v>45184</v>
      </c>
      <c r="B159" s="13" t="n">
        <v>-1389.37</v>
      </c>
    </row>
    <row r="160">
      <c r="A160" s="12" t="n">
        <v>45185</v>
      </c>
      <c r="B160" s="13" t="n">
        <v>-6706.56</v>
      </c>
    </row>
    <row r="161">
      <c r="A161" s="12" t="n">
        <v>45186</v>
      </c>
      <c r="B161" s="13" t="n">
        <v>-420.67</v>
      </c>
    </row>
    <row r="162">
      <c r="A162" s="12" t="n">
        <v>45187</v>
      </c>
      <c r="B162" s="13" t="n">
        <v>-7323.53</v>
      </c>
    </row>
    <row r="163">
      <c r="A163" s="12" t="n">
        <v>45188</v>
      </c>
      <c r="B163" s="13" t="n">
        <v>-8395.85</v>
      </c>
    </row>
    <row r="164">
      <c r="A164" s="12" t="n">
        <v>45189</v>
      </c>
      <c r="B164" s="13" t="n">
        <v>-7945.57</v>
      </c>
    </row>
    <row r="165">
      <c r="A165" s="12" t="n">
        <v>45190</v>
      </c>
      <c r="B165" s="13" t="n">
        <v>-5873.54</v>
      </c>
    </row>
    <row r="166">
      <c r="A166" s="12" t="n">
        <v>45191</v>
      </c>
      <c r="B166" s="13" t="n">
        <v>-6155.76</v>
      </c>
    </row>
    <row r="167">
      <c r="A167" s="12" t="n">
        <v>45192</v>
      </c>
      <c r="B167" s="13" t="n">
        <v>-8318.290000000001</v>
      </c>
    </row>
    <row r="168">
      <c r="A168" s="12" t="n">
        <v>45193</v>
      </c>
      <c r="B168" s="13" t="n">
        <v>-230.09</v>
      </c>
    </row>
    <row r="169">
      <c r="A169" s="12" t="n">
        <v>45194</v>
      </c>
      <c r="B169" s="13" t="n">
        <v>-2513.56</v>
      </c>
    </row>
    <row r="170">
      <c r="A170" s="12" t="n">
        <v>45195</v>
      </c>
      <c r="B170" s="13" t="n">
        <v>-10090.05</v>
      </c>
    </row>
    <row r="171">
      <c r="A171" s="12" t="n">
        <v>45196</v>
      </c>
      <c r="B171" s="13" t="n">
        <v>-480.19</v>
      </c>
    </row>
    <row r="172">
      <c r="A172" s="12" t="n">
        <v>45197</v>
      </c>
      <c r="B172" s="13" t="n">
        <v>-1120.88</v>
      </c>
    </row>
    <row r="173">
      <c r="A173" s="12" t="n">
        <v>45198</v>
      </c>
      <c r="B173" s="13" t="n">
        <v>-370.81</v>
      </c>
    </row>
    <row r="174">
      <c r="A174" s="12" t="n">
        <v>45199</v>
      </c>
      <c r="B174" s="13" t="n">
        <v>-13498.55</v>
      </c>
    </row>
    <row r="175">
      <c r="A175" s="12" t="n">
        <v>45200</v>
      </c>
      <c r="B175" s="13" t="n">
        <v>-14804.7</v>
      </c>
    </row>
    <row r="176">
      <c r="A176" s="12" t="n">
        <v>45201</v>
      </c>
      <c r="B176" s="13" t="n">
        <v>-14942.78</v>
      </c>
    </row>
    <row r="177">
      <c r="A177" s="12" t="n">
        <v>45202</v>
      </c>
      <c r="B177" s="13" t="n">
        <v>-14143.32</v>
      </c>
    </row>
    <row r="178">
      <c r="A178" s="12" t="n">
        <v>45203</v>
      </c>
      <c r="B178" s="13" t="n">
        <v>-3313.07</v>
      </c>
    </row>
    <row r="179">
      <c r="A179" s="12" t="n">
        <v>45204</v>
      </c>
      <c r="B179" s="13" t="n">
        <v>-829.71</v>
      </c>
    </row>
    <row r="180">
      <c r="A180" s="12" t="n">
        <v>45205</v>
      </c>
      <c r="B180" s="13" t="n">
        <v>-13475.14</v>
      </c>
    </row>
    <row r="181">
      <c r="A181" s="12" t="n">
        <v>45206</v>
      </c>
      <c r="B181" s="13" t="n">
        <v>-714.45</v>
      </c>
    </row>
    <row r="182">
      <c r="A182" s="12" t="n">
        <v>45207</v>
      </c>
      <c r="B182" s="13" t="n">
        <v>-1306.91</v>
      </c>
    </row>
    <row r="183">
      <c r="A183" s="12" t="n">
        <v>45208</v>
      </c>
      <c r="B183" s="13" t="n">
        <v>-1153.84</v>
      </c>
    </row>
    <row r="184">
      <c r="A184" s="12" t="n">
        <v>45209</v>
      </c>
      <c r="B184" s="13" t="n">
        <v>-8709.77</v>
      </c>
    </row>
    <row r="185">
      <c r="A185" s="12" t="n">
        <v>45210</v>
      </c>
      <c r="B185" s="13" t="n">
        <v>-857.9</v>
      </c>
    </row>
    <row r="186">
      <c r="A186" s="12" t="n">
        <v>45211</v>
      </c>
      <c r="B186" s="13" t="n">
        <v>-2812.06</v>
      </c>
    </row>
    <row r="187">
      <c r="A187" s="12" t="n">
        <v>45212</v>
      </c>
      <c r="B187" s="13" t="n">
        <v>-6179.91</v>
      </c>
    </row>
    <row r="188">
      <c r="A188" s="12" t="n">
        <v>45213</v>
      </c>
      <c r="B188" s="13" t="n">
        <v>-3484.32</v>
      </c>
    </row>
    <row r="189">
      <c r="A189" s="12" t="n">
        <v>45214</v>
      </c>
      <c r="B189" s="13" t="n">
        <v>-754.21</v>
      </c>
    </row>
    <row r="190">
      <c r="A190" s="12" t="n">
        <v>45215</v>
      </c>
      <c r="B190" s="13" t="n">
        <v>-751.09</v>
      </c>
    </row>
    <row r="191">
      <c r="A191" s="12" t="n">
        <v>45216</v>
      </c>
      <c r="B191" s="13" t="n">
        <v>-1508.72</v>
      </c>
    </row>
    <row r="192">
      <c r="A192" s="12" t="n">
        <v>45217</v>
      </c>
      <c r="B192" s="13" t="n">
        <v>-511.37</v>
      </c>
    </row>
    <row r="193">
      <c r="A193" s="12" t="n">
        <v>45218</v>
      </c>
      <c r="B193" s="13" t="n">
        <v>-12648.32</v>
      </c>
    </row>
    <row r="194">
      <c r="A194" s="12" t="n">
        <v>45219</v>
      </c>
      <c r="B194" s="13" t="n">
        <v>-1092.92</v>
      </c>
    </row>
    <row r="195">
      <c r="A195" s="12" t="n">
        <v>45220</v>
      </c>
      <c r="B195" s="13" t="n">
        <v>-6711.15</v>
      </c>
    </row>
    <row r="196">
      <c r="A196" s="12" t="n">
        <v>45221</v>
      </c>
      <c r="B196" s="13" t="n">
        <v>-6994.34</v>
      </c>
    </row>
    <row r="197">
      <c r="A197" s="12" t="n">
        <v>45222</v>
      </c>
      <c r="B197" s="13" t="n">
        <v>-7071.09</v>
      </c>
    </row>
    <row r="198">
      <c r="A198" s="12" t="n">
        <v>45223</v>
      </c>
      <c r="B198" s="13" t="n">
        <v>-9045.190000000001</v>
      </c>
    </row>
    <row r="199">
      <c r="A199" s="12" t="n">
        <v>45224</v>
      </c>
      <c r="B199" s="13" t="n">
        <v>-9642.120000000001</v>
      </c>
    </row>
    <row r="200">
      <c r="A200" s="12" t="n">
        <v>45225</v>
      </c>
      <c r="B200" s="13" t="n">
        <v>-7460.33</v>
      </c>
    </row>
    <row r="201">
      <c r="A201" s="12" t="n">
        <v>45226</v>
      </c>
      <c r="B201" s="13" t="n">
        <v>-4233.82</v>
      </c>
    </row>
    <row r="202">
      <c r="A202" s="12" t="n">
        <v>45227</v>
      </c>
      <c r="B202" s="13" t="n">
        <v>-8303.9</v>
      </c>
    </row>
    <row r="203">
      <c r="A203" s="12" t="n">
        <v>45228</v>
      </c>
      <c r="B203" s="13" t="n">
        <v>-314.28</v>
      </c>
    </row>
    <row r="204">
      <c r="A204" s="12" t="n">
        <v>45229</v>
      </c>
      <c r="B204" s="13" t="n">
        <v>-5241.23</v>
      </c>
    </row>
    <row r="205">
      <c r="A205" s="12" t="n">
        <v>45230</v>
      </c>
      <c r="B205" s="13" t="n">
        <v>-6863.06</v>
      </c>
    </row>
    <row r="206">
      <c r="A206" s="12" t="n">
        <v>45231</v>
      </c>
      <c r="B206" s="13" t="n">
        <v>-3877.73</v>
      </c>
    </row>
    <row r="207">
      <c r="A207" s="12" t="n">
        <v>45232</v>
      </c>
      <c r="B207" s="13" t="n">
        <v>-4046.58</v>
      </c>
    </row>
    <row r="208">
      <c r="A208" s="12" t="n">
        <v>45233</v>
      </c>
      <c r="B208" s="13" t="n">
        <v>-2409.73</v>
      </c>
    </row>
    <row r="209">
      <c r="A209" s="12" t="n">
        <v>45234</v>
      </c>
      <c r="B209" s="13" t="n">
        <v>-5211.88</v>
      </c>
    </row>
    <row r="210">
      <c r="A210" s="12" t="n">
        <v>45235</v>
      </c>
      <c r="B210" s="13" t="n">
        <v>-6217.86</v>
      </c>
    </row>
    <row r="211">
      <c r="A211" s="12" t="n">
        <v>45236</v>
      </c>
      <c r="B211" s="13" t="n">
        <v>-5978.12</v>
      </c>
    </row>
    <row r="212">
      <c r="A212" s="12" t="n">
        <v>45237</v>
      </c>
      <c r="B212" s="13" t="n">
        <v>-14611.9</v>
      </c>
    </row>
    <row r="213">
      <c r="A213" s="12" t="n">
        <v>45238</v>
      </c>
      <c r="B213" s="13" t="n">
        <v>-8253.52</v>
      </c>
    </row>
    <row r="214">
      <c r="A214" s="12" t="n">
        <v>45239</v>
      </c>
      <c r="B214" s="13" t="n">
        <v>-4489.79</v>
      </c>
    </row>
    <row r="215">
      <c r="A215" s="12" t="n">
        <v>45240</v>
      </c>
      <c r="B215" s="13" t="n">
        <v>-816.08</v>
      </c>
    </row>
    <row r="216">
      <c r="A216" s="12" t="n">
        <v>45241</v>
      </c>
      <c r="B216" s="13" t="n">
        <v>-578.0599999999999</v>
      </c>
    </row>
    <row r="217">
      <c r="A217" s="12" t="n">
        <v>45242</v>
      </c>
      <c r="B217" s="13" t="n">
        <v>-477.3</v>
      </c>
    </row>
    <row r="218">
      <c r="A218" s="12" t="n">
        <v>45243</v>
      </c>
      <c r="B218" s="13" t="n">
        <v>-3133.85</v>
      </c>
    </row>
    <row r="219">
      <c r="A219" s="12" t="n">
        <v>45244</v>
      </c>
      <c r="B219" s="13" t="n">
        <v>-5894.09</v>
      </c>
    </row>
    <row r="220">
      <c r="A220" s="12" t="n">
        <v>45245</v>
      </c>
      <c r="B220" s="13" t="n">
        <v>-9532.42</v>
      </c>
    </row>
    <row r="221">
      <c r="A221" s="12" t="n">
        <v>45246</v>
      </c>
      <c r="B221" s="13" t="n">
        <v>-5327.03</v>
      </c>
    </row>
    <row r="222">
      <c r="A222" s="12" t="n">
        <v>45247</v>
      </c>
      <c r="B222" s="13" t="n">
        <v>-2000.6</v>
      </c>
    </row>
    <row r="223">
      <c r="A223" s="12" t="n">
        <v>45248</v>
      </c>
      <c r="B223" s="13" t="n">
        <v>-6827.57</v>
      </c>
    </row>
    <row r="224">
      <c r="A224" s="12" t="n">
        <v>45249</v>
      </c>
      <c r="B224" s="13" t="n">
        <v>-1633.76</v>
      </c>
    </row>
    <row r="225">
      <c r="A225" s="12" t="n">
        <v>45250</v>
      </c>
      <c r="B225" s="13" t="n">
        <v>-4069.17</v>
      </c>
    </row>
    <row r="226">
      <c r="A226" s="12" t="n">
        <v>45251</v>
      </c>
      <c r="B226" s="13" t="n">
        <v>-1882.77</v>
      </c>
    </row>
    <row r="227">
      <c r="A227" s="12" t="n">
        <v>45252</v>
      </c>
      <c r="B227" s="13" t="n">
        <v>-12526.71</v>
      </c>
    </row>
    <row r="228">
      <c r="A228" s="12" t="n">
        <v>45253</v>
      </c>
      <c r="B228" s="13" t="n">
        <v>-4737.84</v>
      </c>
    </row>
    <row r="229">
      <c r="A229" s="12" t="n">
        <v>45254</v>
      </c>
      <c r="B229" s="13" t="n">
        <v>-2300.53</v>
      </c>
    </row>
    <row r="230">
      <c r="A230" s="12" t="n">
        <v>45255</v>
      </c>
      <c r="B230" s="13" t="n">
        <v>-12385.05</v>
      </c>
    </row>
    <row r="231">
      <c r="A231" s="12" t="n">
        <v>45256</v>
      </c>
      <c r="B231" s="13" t="n">
        <v>-2047.83</v>
      </c>
    </row>
    <row r="232">
      <c r="A232" s="12" t="n">
        <v>45257</v>
      </c>
      <c r="B232" s="13" t="n">
        <v>-10008.33</v>
      </c>
    </row>
    <row r="233">
      <c r="A233" s="12" t="n">
        <v>45258</v>
      </c>
      <c r="B233" s="13" t="n">
        <v>-2299.64</v>
      </c>
    </row>
    <row r="234">
      <c r="A234" s="12" t="n">
        <v>45259</v>
      </c>
      <c r="B234" s="13" t="n">
        <v>-243.92</v>
      </c>
    </row>
    <row r="235">
      <c r="A235" s="12" t="n">
        <v>45260</v>
      </c>
      <c r="B235" s="13" t="n">
        <v>-14473.33</v>
      </c>
    </row>
    <row r="236">
      <c r="A236" s="12" t="n">
        <v>45261</v>
      </c>
      <c r="B236" s="13" t="n">
        <v>-1533.32</v>
      </c>
    </row>
    <row r="237">
      <c r="A237" s="12" t="n">
        <v>45262</v>
      </c>
      <c r="B237" s="13" t="n">
        <v>-7005.05</v>
      </c>
    </row>
    <row r="238">
      <c r="A238" s="12" t="n">
        <v>45263</v>
      </c>
      <c r="B238" s="13" t="n">
        <v>-955.4</v>
      </c>
    </row>
    <row r="239">
      <c r="A239" s="12" t="n">
        <v>45264</v>
      </c>
      <c r="B239" s="13" t="n">
        <v>-7844.88</v>
      </c>
    </row>
    <row r="240">
      <c r="A240" s="12" t="n">
        <v>45265</v>
      </c>
      <c r="B240" s="13" t="n">
        <v>-221.56</v>
      </c>
    </row>
    <row r="241">
      <c r="A241" s="12" t="n">
        <v>45266</v>
      </c>
      <c r="B241" s="13" t="n">
        <v>-6586.19</v>
      </c>
    </row>
    <row r="242">
      <c r="A242" s="12" t="n">
        <v>45267</v>
      </c>
      <c r="B242" s="13" t="n">
        <v>-3944.82</v>
      </c>
    </row>
    <row r="243">
      <c r="A243" s="12" t="n">
        <v>45268</v>
      </c>
      <c r="B243" s="13" t="n">
        <v>-1127.98</v>
      </c>
    </row>
    <row r="244">
      <c r="A244" s="12" t="n">
        <v>45269</v>
      </c>
      <c r="B244" s="13" t="n">
        <v>-2626.63</v>
      </c>
    </row>
    <row r="245">
      <c r="A245" s="12" t="n">
        <v>45270</v>
      </c>
      <c r="B245" s="13" t="n">
        <v>-6459.38</v>
      </c>
    </row>
    <row r="246">
      <c r="A246" s="12" t="n">
        <v>45271</v>
      </c>
      <c r="B246" s="13" t="n">
        <v>-6939.23</v>
      </c>
    </row>
    <row r="247">
      <c r="A247" s="12" t="n">
        <v>45272</v>
      </c>
      <c r="B247" s="13" t="n">
        <v>-9033.870000000001</v>
      </c>
    </row>
    <row r="248">
      <c r="A248" s="12" t="n">
        <v>45273</v>
      </c>
      <c r="B248" s="13" t="n">
        <v>-14365.18</v>
      </c>
    </row>
    <row r="249">
      <c r="A249" s="12" t="n">
        <v>45274</v>
      </c>
      <c r="B249" s="13" t="n">
        <v>-10115.18</v>
      </c>
    </row>
    <row r="250">
      <c r="A250" s="12" t="n">
        <v>45275</v>
      </c>
      <c r="B250" s="13" t="n">
        <v>-7358.65</v>
      </c>
    </row>
    <row r="251">
      <c r="A251" s="12" t="n">
        <v>45276</v>
      </c>
      <c r="B251" s="13" t="n">
        <v>-4438.03</v>
      </c>
    </row>
    <row r="252">
      <c r="A252" s="12" t="n">
        <v>45277</v>
      </c>
      <c r="B252" s="13" t="n">
        <v>-1176.1</v>
      </c>
    </row>
    <row r="253">
      <c r="A253" s="12" t="n">
        <v>45278</v>
      </c>
      <c r="B253" s="13" t="n">
        <v>-5427.98</v>
      </c>
    </row>
    <row r="254">
      <c r="A254" s="12" t="n">
        <v>45279</v>
      </c>
      <c r="B254" s="13" t="n">
        <v>-3653.11</v>
      </c>
    </row>
    <row r="255">
      <c r="A255" s="12" t="n">
        <v>45280</v>
      </c>
      <c r="B255" s="13" t="n">
        <v>-2104.82</v>
      </c>
    </row>
    <row r="256">
      <c r="A256" s="12" t="n">
        <v>45281</v>
      </c>
      <c r="B256" s="13" t="n">
        <v>-1802.77</v>
      </c>
    </row>
    <row r="257">
      <c r="A257" s="12" t="n">
        <v>45282</v>
      </c>
      <c r="B257" s="13" t="n">
        <v>-3559.96</v>
      </c>
    </row>
    <row r="258">
      <c r="A258" s="12" t="n">
        <v>45283</v>
      </c>
      <c r="B258" s="13" t="n">
        <v>-3564.8</v>
      </c>
    </row>
    <row r="259">
      <c r="A259" s="12" t="n">
        <v>45284</v>
      </c>
      <c r="B259" s="13" t="n">
        <v>-6752.92</v>
      </c>
    </row>
    <row r="260">
      <c r="A260" s="12" t="n">
        <v>45285</v>
      </c>
      <c r="B260" s="13" t="n">
        <v>-1444.75</v>
      </c>
    </row>
    <row r="261">
      <c r="A261" s="12" t="n">
        <v>45286</v>
      </c>
      <c r="B261" s="13" t="n">
        <v>-10788.89</v>
      </c>
    </row>
    <row r="262">
      <c r="A262" s="12" t="n">
        <v>45287</v>
      </c>
      <c r="B262" s="13" t="n">
        <v>-2235.7</v>
      </c>
    </row>
    <row r="263">
      <c r="A263" s="12" t="n">
        <v>45288</v>
      </c>
      <c r="B263" s="13" t="n">
        <v>-12893.63</v>
      </c>
    </row>
    <row r="264">
      <c r="A264" s="12" t="n">
        <v>45289</v>
      </c>
      <c r="B264" s="13" t="n">
        <v>-2798.15</v>
      </c>
    </row>
    <row r="265">
      <c r="A265" s="12" t="n">
        <v>45290</v>
      </c>
      <c r="B265" s="13" t="n">
        <v>-3583.67</v>
      </c>
    </row>
    <row r="266">
      <c r="A266" s="12" t="n">
        <v>45291</v>
      </c>
      <c r="B266" s="13" t="n">
        <v>-2120.8</v>
      </c>
    </row>
    <row r="267">
      <c r="A267" s="12" t="n">
        <v>45292</v>
      </c>
      <c r="B267" s="13" t="n">
        <v>-3085.38</v>
      </c>
    </row>
    <row r="268">
      <c r="A268" s="12" t="n">
        <v>45293</v>
      </c>
      <c r="B268" s="13" t="n">
        <v>-6797.71</v>
      </c>
    </row>
    <row r="269">
      <c r="A269" s="12" t="n">
        <v>45294</v>
      </c>
      <c r="B269" s="13" t="n">
        <v>-746.47</v>
      </c>
    </row>
    <row r="270">
      <c r="A270" s="12" t="n">
        <v>45295</v>
      </c>
      <c r="B270" s="13" t="n">
        <v>-5427.81</v>
      </c>
    </row>
    <row r="271">
      <c r="A271" s="12" t="n">
        <v>45296</v>
      </c>
      <c r="B271" s="13" t="n">
        <v>-7467.3</v>
      </c>
    </row>
    <row r="272">
      <c r="A272" s="12" t="n">
        <v>45297</v>
      </c>
      <c r="B272" s="13" t="n">
        <v>-6362.16</v>
      </c>
    </row>
    <row r="273">
      <c r="A273" s="12" t="n">
        <v>45298</v>
      </c>
      <c r="B273" s="13" t="n">
        <v>-8345.26</v>
      </c>
    </row>
    <row r="274">
      <c r="A274" s="12" t="n">
        <v>45299</v>
      </c>
      <c r="B274" s="13" t="n">
        <v>-1305.76</v>
      </c>
    </row>
    <row r="275">
      <c r="A275" s="12" t="n">
        <v>45300</v>
      </c>
      <c r="B275" s="13" t="n">
        <v>-13648.36</v>
      </c>
    </row>
    <row r="276">
      <c r="A276" s="12" t="n">
        <v>45301</v>
      </c>
      <c r="B276" s="13" t="n">
        <v>-1337.5</v>
      </c>
    </row>
    <row r="277">
      <c r="A277" s="12" t="n">
        <v>45302</v>
      </c>
      <c r="B277" s="13" t="n">
        <v>-2015.69</v>
      </c>
    </row>
    <row r="278">
      <c r="A278" s="12" t="n">
        <v>45303</v>
      </c>
      <c r="B278" s="13" t="n">
        <v>-8354.540000000001</v>
      </c>
    </row>
    <row r="279">
      <c r="A279" s="12" t="n">
        <v>45304</v>
      </c>
      <c r="B279" s="13" t="n">
        <v>-11822.53</v>
      </c>
    </row>
    <row r="280">
      <c r="A280" s="12" t="n">
        <v>45305</v>
      </c>
      <c r="B280" s="13" t="n">
        <v>-587.11</v>
      </c>
    </row>
    <row r="281">
      <c r="A281" s="12" t="n">
        <v>45306</v>
      </c>
      <c r="B281" s="13" t="n">
        <v>-5422.53</v>
      </c>
    </row>
    <row r="282">
      <c r="A282" s="12" t="n">
        <v>45307</v>
      </c>
      <c r="B282" s="13" t="n">
        <v>-1913.73</v>
      </c>
    </row>
    <row r="283">
      <c r="A283" s="12" t="n">
        <v>45308</v>
      </c>
      <c r="B283" s="13" t="n">
        <v>-4693.6</v>
      </c>
    </row>
    <row r="284">
      <c r="A284" s="12" t="n">
        <v>45309</v>
      </c>
      <c r="B284" s="13" t="n">
        <v>-464.2</v>
      </c>
    </row>
    <row r="285">
      <c r="A285" s="12" t="n">
        <v>45310</v>
      </c>
      <c r="B285" s="13" t="n">
        <v>-4363.74</v>
      </c>
    </row>
    <row r="286">
      <c r="A286" s="12" t="n">
        <v>45311</v>
      </c>
      <c r="B286" s="13" t="n">
        <v>-3319.76</v>
      </c>
    </row>
    <row r="287">
      <c r="A287" s="12" t="n">
        <v>45312</v>
      </c>
      <c r="B287" s="13" t="n">
        <v>-4356.98</v>
      </c>
    </row>
    <row r="288">
      <c r="A288" s="12" t="n">
        <v>45313</v>
      </c>
      <c r="B288" s="13" t="n">
        <v>-1519.35</v>
      </c>
    </row>
    <row r="289">
      <c r="A289" s="12" t="n">
        <v>45314</v>
      </c>
      <c r="B289" s="13" t="n">
        <v>-5962.58</v>
      </c>
    </row>
    <row r="290">
      <c r="A290" s="12" t="n">
        <v>45315</v>
      </c>
      <c r="B290" s="13" t="n">
        <v>-822.73</v>
      </c>
    </row>
    <row r="291">
      <c r="A291" s="12" t="n">
        <v>45316</v>
      </c>
      <c r="B291" s="13" t="n">
        <v>-867.3200000000001</v>
      </c>
    </row>
    <row r="292">
      <c r="A292" s="12" t="n">
        <v>45317</v>
      </c>
      <c r="B292" s="13" t="n">
        <v>-1035.86</v>
      </c>
    </row>
    <row r="293">
      <c r="A293" s="12" t="n">
        <v>45318</v>
      </c>
      <c r="B293" s="13" t="n">
        <v>-13347.69</v>
      </c>
    </row>
    <row r="294">
      <c r="A294" s="12" t="n">
        <v>45319</v>
      </c>
      <c r="B294" s="13" t="n">
        <v>-8478.9</v>
      </c>
    </row>
    <row r="295">
      <c r="A295" s="12" t="n">
        <v>45320</v>
      </c>
      <c r="B295" s="13" t="n">
        <v>-11088.95</v>
      </c>
    </row>
    <row r="296">
      <c r="A296" s="12" t="n">
        <v>45321</v>
      </c>
      <c r="B296" s="13" t="n">
        <v>-6280.66</v>
      </c>
    </row>
    <row r="297">
      <c r="A297" s="12" t="n">
        <v>45322</v>
      </c>
      <c r="B297" s="13" t="n">
        <v>-481.13</v>
      </c>
    </row>
    <row r="298">
      <c r="A298" s="12" t="n">
        <v>45323</v>
      </c>
      <c r="B298" s="13" t="n">
        <v>-8431.23</v>
      </c>
    </row>
    <row r="299">
      <c r="A299" s="12" t="n">
        <v>45324</v>
      </c>
      <c r="B299" s="13" t="n">
        <v>-7182.22</v>
      </c>
    </row>
    <row r="300">
      <c r="A300" s="12" t="n">
        <v>45325</v>
      </c>
      <c r="B300" s="13" t="n">
        <v>-1692.15</v>
      </c>
    </row>
    <row r="301">
      <c r="A301" s="12" t="n">
        <v>45326</v>
      </c>
      <c r="B301" s="13" t="n">
        <v>-1695.57</v>
      </c>
    </row>
    <row r="302">
      <c r="A302" s="12" t="n">
        <v>45327</v>
      </c>
      <c r="B302" s="13" t="n">
        <v>-6264.21</v>
      </c>
    </row>
    <row r="303">
      <c r="A303" s="12" t="n">
        <v>45328</v>
      </c>
      <c r="B303" s="13" t="n">
        <v>-8497.34</v>
      </c>
    </row>
    <row r="304">
      <c r="A304" s="12" t="n">
        <v>45329</v>
      </c>
      <c r="B304" s="13" t="n">
        <v>-1272.12</v>
      </c>
    </row>
    <row r="305">
      <c r="A305" s="12" t="n">
        <v>45330</v>
      </c>
      <c r="B305" s="13" t="n">
        <v>-3959.62</v>
      </c>
    </row>
    <row r="306">
      <c r="A306" s="12" t="n">
        <v>45331</v>
      </c>
      <c r="B306" s="13" t="n">
        <v>-476.19</v>
      </c>
    </row>
    <row r="307">
      <c r="A307" s="12" t="n">
        <v>45332</v>
      </c>
      <c r="B307" s="13" t="n">
        <v>-3117.39</v>
      </c>
    </row>
    <row r="308">
      <c r="A308" s="12" t="n">
        <v>45333</v>
      </c>
      <c r="B308" s="13" t="n">
        <v>-7697.68</v>
      </c>
    </row>
    <row r="309">
      <c r="A309" s="12" t="n">
        <v>45334</v>
      </c>
      <c r="B309" s="13" t="n">
        <v>-7580.59</v>
      </c>
    </row>
    <row r="310">
      <c r="A310" s="12" t="n">
        <v>45335</v>
      </c>
      <c r="B310" s="13" t="n">
        <v>-7936.91</v>
      </c>
    </row>
    <row r="311">
      <c r="A311" s="12" t="n">
        <v>45336</v>
      </c>
      <c r="B311" s="13" t="n">
        <v>-6642.33</v>
      </c>
    </row>
    <row r="312">
      <c r="A312" s="12" t="n">
        <v>45337</v>
      </c>
      <c r="B312" s="13" t="n">
        <v>-136.74</v>
      </c>
    </row>
    <row r="313">
      <c r="A313" s="12" t="n">
        <v>45338</v>
      </c>
      <c r="B313" s="13" t="n">
        <v>-319.84</v>
      </c>
    </row>
    <row r="314">
      <c r="A314" s="12" t="n">
        <v>45339</v>
      </c>
      <c r="B314" s="13" t="n">
        <v>-8126.06</v>
      </c>
    </row>
    <row r="315">
      <c r="A315" s="12" t="n">
        <v>45340</v>
      </c>
      <c r="B315" s="13" t="n">
        <v>-705.75</v>
      </c>
    </row>
    <row r="316">
      <c r="A316" s="12" t="n">
        <v>45341</v>
      </c>
      <c r="B316" s="13" t="n">
        <v>-5331.57</v>
      </c>
    </row>
    <row r="317">
      <c r="A317" s="12" t="n">
        <v>45342</v>
      </c>
      <c r="B317" s="13" t="n">
        <v>-7645.47</v>
      </c>
    </row>
    <row r="318">
      <c r="A318" s="12" t="n">
        <v>45343</v>
      </c>
      <c r="B318" s="13" t="n">
        <v>-8119.73</v>
      </c>
    </row>
    <row r="319">
      <c r="A319" s="12" t="n">
        <v>45344</v>
      </c>
      <c r="B319" s="13" t="n">
        <v>-6101.15</v>
      </c>
    </row>
    <row r="320">
      <c r="A320" s="12" t="n">
        <v>45345</v>
      </c>
      <c r="B320" s="13" t="n">
        <v>-2561.42</v>
      </c>
    </row>
    <row r="321">
      <c r="A321" s="12" t="n">
        <v>45346</v>
      </c>
      <c r="B321" s="13" t="n">
        <v>-4382.73</v>
      </c>
    </row>
    <row r="322">
      <c r="A322" s="12" t="n">
        <v>45347</v>
      </c>
      <c r="B322" s="13" t="n">
        <v>-1278</v>
      </c>
    </row>
    <row r="323">
      <c r="A323" s="12" t="n">
        <v>45348</v>
      </c>
      <c r="B323" s="13" t="n">
        <v>-1749.79</v>
      </c>
    </row>
    <row r="324">
      <c r="A324" s="12" t="n">
        <v>45349</v>
      </c>
      <c r="B324" s="13" t="n">
        <v>-2929.51</v>
      </c>
    </row>
    <row r="325">
      <c r="A325" s="12" t="n">
        <v>45350</v>
      </c>
      <c r="B325" s="13" t="n">
        <v>-8926.379999999999</v>
      </c>
    </row>
    <row r="326">
      <c r="A326" s="12" t="n">
        <v>45351</v>
      </c>
      <c r="B326" s="13" t="n">
        <v>-7676.92</v>
      </c>
    </row>
    <row r="327">
      <c r="A327" s="12" t="n">
        <v>45352</v>
      </c>
      <c r="B327" s="13" t="n">
        <v>-4657.7</v>
      </c>
    </row>
    <row r="328">
      <c r="A328" s="12" t="n">
        <v>45353</v>
      </c>
      <c r="B328" s="13" t="n">
        <v>-5579.11</v>
      </c>
    </row>
    <row r="329">
      <c r="A329" s="12" t="n">
        <v>45354</v>
      </c>
      <c r="B329" s="13" t="n">
        <v>-3293.01</v>
      </c>
    </row>
    <row r="330">
      <c r="A330" s="12" t="n">
        <v>45355</v>
      </c>
      <c r="B330" s="13" t="n">
        <v>-7998.25</v>
      </c>
    </row>
    <row r="331">
      <c r="A331" s="12" t="n">
        <v>45356</v>
      </c>
      <c r="B331" s="13" t="n">
        <v>-1093.89</v>
      </c>
    </row>
    <row r="332">
      <c r="A332" s="12" t="n">
        <v>45357</v>
      </c>
      <c r="B332" s="13" t="n">
        <v>-3435.34</v>
      </c>
    </row>
    <row r="333">
      <c r="A333" s="12" t="n">
        <v>45358</v>
      </c>
      <c r="B333" s="13" t="n">
        <v>-344.07</v>
      </c>
    </row>
    <row r="334">
      <c r="A334" s="12" t="n">
        <v>45359</v>
      </c>
      <c r="B334" s="13" t="n">
        <v>-3897.17</v>
      </c>
    </row>
    <row r="335">
      <c r="A335" s="12" t="n">
        <v>45360</v>
      </c>
      <c r="B335" s="13" t="n">
        <v>-5358.95</v>
      </c>
    </row>
    <row r="336">
      <c r="A336" s="12" t="n">
        <v>45361</v>
      </c>
      <c r="B336" s="13" t="n">
        <v>-627.79</v>
      </c>
    </row>
    <row r="337">
      <c r="A337" s="12" t="n">
        <v>45362</v>
      </c>
      <c r="B337" s="13" t="n">
        <v>-7418.82</v>
      </c>
    </row>
    <row r="338">
      <c r="A338" s="12" t="n">
        <v>45363</v>
      </c>
      <c r="B338" s="13" t="n">
        <v>-453.39</v>
      </c>
    </row>
    <row r="339">
      <c r="A339" s="12" t="n">
        <v>45364</v>
      </c>
      <c r="B339" s="13" t="n">
        <v>-2173.76</v>
      </c>
    </row>
    <row r="340">
      <c r="A340" s="12" t="n">
        <v>45365</v>
      </c>
      <c r="B340" s="13" t="n">
        <v>-6452.14</v>
      </c>
    </row>
    <row r="341">
      <c r="A341" s="12" t="n">
        <v>45366</v>
      </c>
      <c r="B341" s="13" t="n">
        <v>-5528.36</v>
      </c>
    </row>
    <row r="342">
      <c r="A342" s="12" t="n">
        <v>45367</v>
      </c>
      <c r="B342" s="13" t="n">
        <v>-9939.940000000001</v>
      </c>
    </row>
    <row r="343">
      <c r="A343" s="12" t="n">
        <v>45368</v>
      </c>
      <c r="B343" s="13" t="n">
        <v>-7016.99</v>
      </c>
    </row>
    <row r="344">
      <c r="A344" s="12" t="n">
        <v>45369</v>
      </c>
      <c r="B344" s="13" t="n">
        <v>-2026.32</v>
      </c>
    </row>
    <row r="345">
      <c r="A345" s="12" t="n">
        <v>45370</v>
      </c>
      <c r="B345" s="13" t="n">
        <v>-7371.85</v>
      </c>
    </row>
    <row r="346">
      <c r="A346" s="12" t="n">
        <v>45371</v>
      </c>
      <c r="B346" s="13" t="n">
        <v>-264.83</v>
      </c>
    </row>
    <row r="347">
      <c r="A347" s="12" t="n">
        <v>45372</v>
      </c>
      <c r="B347" s="13" t="n">
        <v>-10001.66</v>
      </c>
    </row>
    <row r="348">
      <c r="A348" s="12" t="n">
        <v>45373</v>
      </c>
      <c r="B348" s="13" t="n">
        <v>-9594.110000000001</v>
      </c>
    </row>
    <row r="349">
      <c r="A349" s="12" t="n">
        <v>45374</v>
      </c>
      <c r="B349" s="13" t="n">
        <v>-1329.41</v>
      </c>
    </row>
    <row r="350">
      <c r="A350" s="12" t="n">
        <v>45375</v>
      </c>
      <c r="B350" s="13" t="n">
        <v>-11624.93</v>
      </c>
    </row>
    <row r="351">
      <c r="A351" s="12" t="n">
        <v>45376</v>
      </c>
      <c r="B351" s="13" t="n">
        <v>-168.84</v>
      </c>
    </row>
    <row r="352">
      <c r="A352" s="12" t="n">
        <v>45377</v>
      </c>
      <c r="B352" s="13" t="n">
        <v>-160.57</v>
      </c>
    </row>
    <row r="353">
      <c r="A353" s="12" t="n">
        <v>45378</v>
      </c>
      <c r="B353" s="13" t="n">
        <v>-7135.64</v>
      </c>
    </row>
    <row r="354">
      <c r="A354" s="12" t="n">
        <v>45379</v>
      </c>
      <c r="B354" s="13" t="n">
        <v>-469.14</v>
      </c>
    </row>
    <row r="355">
      <c r="A355" s="12" t="n">
        <v>45380</v>
      </c>
      <c r="B355" s="13" t="n">
        <v>-7517.5</v>
      </c>
    </row>
    <row r="356">
      <c r="A356" s="12" t="n">
        <v>45381</v>
      </c>
      <c r="B356" s="13" t="n">
        <v>-919.84</v>
      </c>
    </row>
    <row r="357">
      <c r="A357" s="12" t="n">
        <v>45382</v>
      </c>
      <c r="B357" s="13" t="n">
        <v>-8013.63</v>
      </c>
    </row>
    <row r="358">
      <c r="A358" s="12" t="n">
        <v>45383</v>
      </c>
      <c r="B358" s="13" t="n">
        <v>-5077.06</v>
      </c>
    </row>
    <row r="359">
      <c r="A359" s="12" t="n">
        <v>45384</v>
      </c>
      <c r="B359" s="13" t="n">
        <v>-2791.2</v>
      </c>
    </row>
    <row r="360">
      <c r="A360" s="12" t="n">
        <v>45385</v>
      </c>
      <c r="B360" s="13" t="n">
        <v>-7749.14</v>
      </c>
    </row>
    <row r="361">
      <c r="A361" s="12" t="n">
        <v>45386</v>
      </c>
      <c r="B361" s="13" t="n">
        <v>-4516.76</v>
      </c>
    </row>
    <row r="362">
      <c r="A362" s="12" t="n">
        <v>45387</v>
      </c>
      <c r="B362" s="13" t="n">
        <v>-2016.02</v>
      </c>
    </row>
    <row r="363">
      <c r="A363" s="12" t="n">
        <v>45388</v>
      </c>
      <c r="B363" s="13" t="n">
        <v>-1959.52</v>
      </c>
    </row>
    <row r="364">
      <c r="A364" s="12" t="n">
        <v>45389</v>
      </c>
      <c r="B364" s="13" t="n">
        <v>-3876.61</v>
      </c>
    </row>
    <row r="365">
      <c r="A365" s="12" t="n">
        <v>45390</v>
      </c>
      <c r="B365" s="13" t="n">
        <v>-1790.27</v>
      </c>
    </row>
    <row r="366">
      <c r="A366" s="12" t="n">
        <v>45391</v>
      </c>
      <c r="B366" s="13" t="n">
        <v>-711.47</v>
      </c>
    </row>
    <row r="367">
      <c r="A367" s="12" t="n">
        <v>45392</v>
      </c>
      <c r="B367" s="13" t="n">
        <v>-12154.66</v>
      </c>
    </row>
    <row r="368">
      <c r="A368" s="12" t="n">
        <v>45393</v>
      </c>
      <c r="B368" s="13" t="n">
        <v>-1546.22</v>
      </c>
    </row>
    <row r="369">
      <c r="A369" s="12" t="n">
        <v>45394</v>
      </c>
      <c r="B369" s="13" t="n">
        <v>-7208.15</v>
      </c>
    </row>
    <row r="370">
      <c r="A370" s="12" t="n">
        <v>45395</v>
      </c>
      <c r="B370" s="13" t="n">
        <v>-6485.78</v>
      </c>
    </row>
    <row r="371">
      <c r="A371" s="12" t="n">
        <v>45396</v>
      </c>
      <c r="B371" s="13" t="n">
        <v>-3984.38</v>
      </c>
    </row>
    <row r="372">
      <c r="A372" s="12" t="n">
        <v>45397</v>
      </c>
      <c r="B372" s="13" t="n">
        <v>-412.78</v>
      </c>
    </row>
    <row r="373">
      <c r="A373" s="12" t="n">
        <v>45398</v>
      </c>
      <c r="B373" s="13" t="n">
        <v>-1058.13</v>
      </c>
    </row>
    <row r="374">
      <c r="A374" s="12" t="n">
        <v>45399</v>
      </c>
      <c r="B374" s="13" t="n">
        <v>-6631.5</v>
      </c>
    </row>
    <row r="375">
      <c r="A375" s="12" t="n">
        <v>45400</v>
      </c>
      <c r="B375" s="13" t="n">
        <v>-1661.68</v>
      </c>
    </row>
    <row r="376">
      <c r="A376" s="12" t="n">
        <v>45401</v>
      </c>
      <c r="B376" s="13" t="n">
        <v>-312.19</v>
      </c>
    </row>
    <row r="377">
      <c r="A377" s="12" t="n">
        <v>45402</v>
      </c>
      <c r="B377" s="13" t="n">
        <v>-10862.99</v>
      </c>
    </row>
    <row r="378">
      <c r="A378" s="12" t="n">
        <v>45403</v>
      </c>
      <c r="B378" s="13" t="n">
        <v>-5414.87</v>
      </c>
    </row>
    <row r="379">
      <c r="A379" s="12" t="n">
        <v>45404</v>
      </c>
      <c r="B379" s="13" t="n">
        <v>-3919.44</v>
      </c>
    </row>
    <row r="380">
      <c r="A380" s="12" t="n">
        <v>45405</v>
      </c>
      <c r="B380" s="13" t="n">
        <v>-7315.34</v>
      </c>
    </row>
    <row r="381">
      <c r="A381" s="12" t="n">
        <v>45406</v>
      </c>
      <c r="B381" s="13" t="n">
        <v>-3740.73</v>
      </c>
    </row>
    <row r="382">
      <c r="A382" s="12" t="n">
        <v>45407</v>
      </c>
      <c r="B382" s="13" t="n">
        <v>-465.63</v>
      </c>
    </row>
    <row r="383">
      <c r="A383" s="12" t="n">
        <v>45408</v>
      </c>
      <c r="B383" s="13" t="n">
        <v>-9992.360000000001</v>
      </c>
    </row>
    <row r="384">
      <c r="A384" s="12" t="n">
        <v>45409</v>
      </c>
      <c r="B384" s="13" t="n">
        <v>-5141.19</v>
      </c>
    </row>
    <row r="385">
      <c r="A385" s="12" t="n">
        <v>45410</v>
      </c>
      <c r="B385" s="13" t="n">
        <v>-4317.85</v>
      </c>
    </row>
    <row r="386">
      <c r="A386" s="12" t="n">
        <v>45411</v>
      </c>
      <c r="B386" s="13" t="n">
        <v>-5326.68</v>
      </c>
    </row>
    <row r="387">
      <c r="A387" s="12" t="n">
        <v>45412</v>
      </c>
      <c r="B387" s="13" t="n">
        <v>-1636.32</v>
      </c>
    </row>
    <row r="388">
      <c r="A388" s="12" t="n">
        <v>45413</v>
      </c>
      <c r="B388" s="13" t="n">
        <v>-7932.41</v>
      </c>
    </row>
    <row r="389">
      <c r="A389" s="12" t="n">
        <v>45414</v>
      </c>
      <c r="B389" s="13" t="n">
        <v>-3927.69</v>
      </c>
    </row>
    <row r="390">
      <c r="A390" s="12" t="n">
        <v>45415</v>
      </c>
      <c r="B390" s="13" t="n">
        <v>-588.5</v>
      </c>
    </row>
    <row r="391">
      <c r="A391" s="12" t="n">
        <v>45416</v>
      </c>
      <c r="B391" s="13" t="n">
        <v>-6776.41</v>
      </c>
    </row>
    <row r="392">
      <c r="A392" s="12" t="n">
        <v>45417</v>
      </c>
      <c r="B392" s="13" t="n">
        <v>-5529.92</v>
      </c>
    </row>
    <row r="393">
      <c r="A393" s="12" t="n">
        <v>45418</v>
      </c>
      <c r="B393" s="13" t="n">
        <v>-9009.42</v>
      </c>
    </row>
    <row r="394">
      <c r="A394" s="12" t="n">
        <v>45419</v>
      </c>
      <c r="B394" s="13" t="n">
        <v>-5994.87</v>
      </c>
    </row>
    <row r="395">
      <c r="A395" s="12" t="n">
        <v>45420</v>
      </c>
      <c r="B395" s="13" t="n">
        <v>-5468.58</v>
      </c>
    </row>
    <row r="396">
      <c r="A396" s="12" t="n">
        <v>45421</v>
      </c>
      <c r="B396" s="13" t="n">
        <v>-5677.52</v>
      </c>
    </row>
    <row r="397">
      <c r="A397" s="12" t="n">
        <v>45422</v>
      </c>
      <c r="B397" s="13" t="n">
        <v>-2232.84</v>
      </c>
    </row>
    <row r="398">
      <c r="A398" s="12" t="n">
        <v>45423</v>
      </c>
      <c r="B398" s="13" t="n">
        <v>-7739.54</v>
      </c>
    </row>
    <row r="399">
      <c r="A399" s="12" t="n">
        <v>45424</v>
      </c>
      <c r="B399" s="13" t="n">
        <v>-6044.93</v>
      </c>
    </row>
    <row r="400">
      <c r="A400" s="12" t="n">
        <v>45425</v>
      </c>
      <c r="B400" s="13" t="n">
        <v>-922.1900000000001</v>
      </c>
    </row>
    <row r="401">
      <c r="A401" s="12" t="n">
        <v>45426</v>
      </c>
      <c r="B401" s="13" t="n">
        <v>-447.53</v>
      </c>
    </row>
    <row r="402">
      <c r="A402" s="12" t="n">
        <v>45427</v>
      </c>
      <c r="B402" s="13" t="n">
        <v>-10778.35</v>
      </c>
    </row>
    <row r="403">
      <c r="A403" s="12" t="n">
        <v>45428</v>
      </c>
      <c r="B403" s="13" t="n">
        <v>-7513.79</v>
      </c>
    </row>
    <row r="404">
      <c r="A404" s="12" t="n">
        <v>45429</v>
      </c>
      <c r="B404" s="13" t="n">
        <v>-2051.25</v>
      </c>
    </row>
    <row r="405">
      <c r="A405" s="12" t="n">
        <v>45430</v>
      </c>
      <c r="B405" s="13" t="n">
        <v>-1038.91</v>
      </c>
    </row>
    <row r="406">
      <c r="A406" s="12" t="n">
        <v>45431</v>
      </c>
      <c r="B406" s="13" t="n">
        <v>-619.86</v>
      </c>
    </row>
    <row r="407">
      <c r="A407" s="12" t="n">
        <v>45432</v>
      </c>
      <c r="B407" s="13" t="n">
        <v>-11320.83</v>
      </c>
    </row>
    <row r="408">
      <c r="A408" s="12" t="n">
        <v>45433</v>
      </c>
      <c r="B408" s="13" t="n">
        <v>-14510.8</v>
      </c>
    </row>
    <row r="409">
      <c r="A409" s="12" t="n">
        <v>45434</v>
      </c>
      <c r="B409" s="13" t="n">
        <v>-5103.67</v>
      </c>
    </row>
    <row r="410">
      <c r="A410" s="12" t="n">
        <v>45435</v>
      </c>
      <c r="B410" s="13" t="n">
        <v>-13793.53</v>
      </c>
    </row>
    <row r="411">
      <c r="A411" s="12" t="n">
        <v>45436</v>
      </c>
      <c r="B411" s="13" t="n">
        <v>-2403.39</v>
      </c>
    </row>
    <row r="412">
      <c r="A412" s="12" t="n">
        <v>45437</v>
      </c>
      <c r="B412" s="13" t="n">
        <v>-3075.97</v>
      </c>
    </row>
    <row r="413">
      <c r="A413" s="12" t="n">
        <v>45438</v>
      </c>
      <c r="B413" s="13" t="n">
        <v>-7835.4</v>
      </c>
    </row>
    <row r="414">
      <c r="A414" s="12" t="n">
        <v>45439</v>
      </c>
      <c r="B414" s="13" t="n">
        <v>-414.43</v>
      </c>
    </row>
    <row r="415">
      <c r="A415" s="12" t="n">
        <v>45440</v>
      </c>
      <c r="B415" s="13" t="n">
        <v>-6116.8</v>
      </c>
    </row>
    <row r="416">
      <c r="A416" s="12" t="n">
        <v>45441</v>
      </c>
      <c r="B416" s="13" t="n">
        <v>-6067.62</v>
      </c>
    </row>
    <row r="417">
      <c r="A417" s="12" t="n">
        <v>45442</v>
      </c>
      <c r="B417" s="13" t="n">
        <v>-7341.43</v>
      </c>
    </row>
    <row r="418">
      <c r="A418" s="12" t="n">
        <v>45443</v>
      </c>
      <c r="B418" s="13" t="n">
        <v>-1454.08</v>
      </c>
    </row>
    <row r="419">
      <c r="A419" s="12" t="n">
        <v>45444</v>
      </c>
      <c r="B419" s="13" t="n">
        <v>-1476.91</v>
      </c>
    </row>
    <row r="420">
      <c r="A420" s="12" t="n">
        <v>45445</v>
      </c>
      <c r="B420" s="13" t="n">
        <v>-1943.13</v>
      </c>
    </row>
    <row r="421">
      <c r="A421" s="12" t="n">
        <v>45446</v>
      </c>
      <c r="B421" s="13" t="n">
        <v>-1719.97</v>
      </c>
    </row>
    <row r="422">
      <c r="A422" s="12" t="n">
        <v>45447</v>
      </c>
      <c r="B422" s="13" t="n">
        <v>-832.8200000000001</v>
      </c>
    </row>
    <row r="423">
      <c r="A423" s="12" t="n">
        <v>45448</v>
      </c>
      <c r="B423" s="13" t="n">
        <v>-7696.16</v>
      </c>
    </row>
    <row r="424">
      <c r="A424" s="12" t="n">
        <v>45449</v>
      </c>
      <c r="B424" s="13" t="n">
        <v>-6385.69</v>
      </c>
    </row>
    <row r="425">
      <c r="A425" s="12" t="n">
        <v>45450</v>
      </c>
      <c r="B425" s="13" t="n">
        <v>-5472.03</v>
      </c>
    </row>
    <row r="426">
      <c r="A426" s="12" t="n">
        <v>45451</v>
      </c>
      <c r="B426" s="13" t="n">
        <v>-8602.219999999999</v>
      </c>
    </row>
    <row r="427">
      <c r="A427" s="12" t="n">
        <v>45452</v>
      </c>
      <c r="B427" s="13" t="n">
        <v>-162.53</v>
      </c>
    </row>
    <row r="428">
      <c r="A428" s="12" t="n">
        <v>45453</v>
      </c>
      <c r="B428" s="13" t="n">
        <v>-836.67</v>
      </c>
    </row>
    <row r="429">
      <c r="A429" s="12" t="n">
        <v>45454</v>
      </c>
      <c r="B429" s="13" t="n">
        <v>-8557.32</v>
      </c>
    </row>
    <row r="430">
      <c r="A430" s="12" t="n">
        <v>45455</v>
      </c>
      <c r="B430" s="13" t="n">
        <v>-1579.57</v>
      </c>
    </row>
    <row r="431">
      <c r="A431" s="12" t="n">
        <v>45456</v>
      </c>
      <c r="B431" s="13" t="n">
        <v>-129.29</v>
      </c>
    </row>
    <row r="432">
      <c r="A432" s="12" t="n">
        <v>45457</v>
      </c>
      <c r="B432" s="13" t="n">
        <v>-6474.41</v>
      </c>
    </row>
    <row r="433">
      <c r="A433" s="12" t="n">
        <v>45458</v>
      </c>
      <c r="B433" s="13" t="n">
        <v>-1380.21</v>
      </c>
    </row>
    <row r="434">
      <c r="A434" s="12" t="n">
        <v>45459</v>
      </c>
      <c r="B434" s="13" t="n">
        <v>-7487.79</v>
      </c>
    </row>
    <row r="435">
      <c r="A435" s="12" t="n">
        <v>45460</v>
      </c>
      <c r="B435" s="13" t="n">
        <v>-7986.63</v>
      </c>
    </row>
    <row r="436">
      <c r="A436" s="12" t="n">
        <v>45461</v>
      </c>
      <c r="B436" s="13" t="n">
        <v>-7322.01</v>
      </c>
    </row>
    <row r="437">
      <c r="A437" s="12" t="n">
        <v>45462</v>
      </c>
      <c r="B437" s="13" t="n">
        <v>-9929.43</v>
      </c>
    </row>
    <row r="438">
      <c r="A438" s="12" t="n">
        <v>45463</v>
      </c>
      <c r="B438" s="13" t="n">
        <v>-1830.98</v>
      </c>
    </row>
    <row r="439">
      <c r="A439" s="12" t="n">
        <v>45464</v>
      </c>
      <c r="B439" s="13" t="n">
        <v>-7198.8</v>
      </c>
    </row>
    <row r="440">
      <c r="A440" s="12" t="n">
        <v>45465</v>
      </c>
      <c r="B440" s="13" t="n">
        <v>-10980.38</v>
      </c>
    </row>
    <row r="441">
      <c r="A441" s="12" t="n">
        <v>45466</v>
      </c>
      <c r="B441" s="13" t="n">
        <v>-6697.77</v>
      </c>
    </row>
    <row r="442">
      <c r="A442" s="12" t="n">
        <v>45467</v>
      </c>
      <c r="B442" s="13" t="n">
        <v>-9410.99</v>
      </c>
    </row>
    <row r="443">
      <c r="A443" s="12" t="n">
        <v>45468</v>
      </c>
      <c r="B443" s="13" t="n">
        <v>-6213.32</v>
      </c>
    </row>
    <row r="444">
      <c r="A444" s="12" t="n">
        <v>45469</v>
      </c>
      <c r="B444" s="13" t="n">
        <v>-368.78</v>
      </c>
    </row>
    <row r="445">
      <c r="A445" s="12" t="n">
        <v>45470</v>
      </c>
      <c r="B445" s="13" t="n">
        <v>-711.66</v>
      </c>
    </row>
    <row r="446">
      <c r="A446" s="12" t="n">
        <v>45471</v>
      </c>
      <c r="B446" s="13" t="n">
        <v>-801.01</v>
      </c>
    </row>
    <row r="447">
      <c r="A447" s="12" t="n">
        <v>45472</v>
      </c>
      <c r="B447" s="13" t="n">
        <v>-928.33</v>
      </c>
    </row>
    <row r="448">
      <c r="A448" s="12" t="n">
        <v>45473</v>
      </c>
      <c r="B448" s="13" t="n">
        <v>-5839.38</v>
      </c>
    </row>
    <row r="449">
      <c r="A449" s="12" t="n">
        <v>45474</v>
      </c>
      <c r="B449" s="13" t="n">
        <v>-3641.07</v>
      </c>
    </row>
    <row r="450">
      <c r="A450" s="12" t="n">
        <v>45475</v>
      </c>
      <c r="B450" s="13" t="n">
        <v>-1352.19</v>
      </c>
    </row>
    <row r="451">
      <c r="A451" s="12" t="n">
        <v>45476</v>
      </c>
      <c r="B451" s="13" t="n">
        <v>-7299.86</v>
      </c>
    </row>
    <row r="452">
      <c r="A452" s="12" t="n">
        <v>45477</v>
      </c>
      <c r="B452" s="13" t="n">
        <v>-1503.56</v>
      </c>
    </row>
    <row r="453">
      <c r="A453" s="12" t="n">
        <v>45478</v>
      </c>
      <c r="B453" s="13" t="n">
        <v>-5943.13</v>
      </c>
    </row>
    <row r="454">
      <c r="A454" s="12" t="n">
        <v>45479</v>
      </c>
      <c r="B454" s="13" t="n">
        <v>-895.66</v>
      </c>
    </row>
    <row r="455">
      <c r="A455" s="12" t="n">
        <v>45480</v>
      </c>
      <c r="B455" s="13" t="n">
        <v>-1061.96</v>
      </c>
    </row>
    <row r="456">
      <c r="A456" s="12" t="n">
        <v>45481</v>
      </c>
      <c r="B456" s="13" t="n">
        <v>-1592.94</v>
      </c>
    </row>
    <row r="457">
      <c r="A457" s="12" t="n">
        <v>45482</v>
      </c>
      <c r="B457" s="13" t="n">
        <v>-6215.96</v>
      </c>
    </row>
    <row r="458">
      <c r="A458" s="12" t="n">
        <v>45483</v>
      </c>
      <c r="B458" s="13" t="n">
        <v>-6171.89</v>
      </c>
    </row>
    <row r="459">
      <c r="A459" s="12" t="n">
        <v>45484</v>
      </c>
      <c r="B459" s="13" t="n">
        <v>-5987.67</v>
      </c>
    </row>
    <row r="460">
      <c r="A460" s="12" t="n">
        <v>45485</v>
      </c>
      <c r="B460" s="13" t="n">
        <v>-14783.33</v>
      </c>
    </row>
    <row r="461">
      <c r="A461" s="12" t="n">
        <v>45486</v>
      </c>
      <c r="B461" s="13" t="n">
        <v>-1806</v>
      </c>
    </row>
    <row r="462">
      <c r="A462" s="12" t="n">
        <v>45487</v>
      </c>
      <c r="B462" s="13" t="n">
        <v>-13240.72</v>
      </c>
    </row>
    <row r="463">
      <c r="A463" s="12" t="n">
        <v>45488</v>
      </c>
      <c r="B463" s="13" t="n">
        <v>-1408.07</v>
      </c>
    </row>
    <row r="464">
      <c r="A464" s="12" t="n">
        <v>45489</v>
      </c>
      <c r="B464" s="13" t="n">
        <v>-271.78</v>
      </c>
    </row>
    <row r="465">
      <c r="A465" s="12" t="n">
        <v>45490</v>
      </c>
      <c r="B465" s="13" t="n">
        <v>-9419.27</v>
      </c>
    </row>
    <row r="466">
      <c r="A466" s="12" t="n">
        <v>45491</v>
      </c>
      <c r="B466" s="13" t="n">
        <v>-9551.639999999999</v>
      </c>
    </row>
    <row r="467">
      <c r="A467" s="12" t="n">
        <v>45492</v>
      </c>
      <c r="B467" s="13" t="n">
        <v>-1070.47</v>
      </c>
    </row>
    <row r="468">
      <c r="A468" s="12" t="n">
        <v>45493</v>
      </c>
      <c r="B468" s="13" t="n">
        <v>-9374.24</v>
      </c>
    </row>
    <row r="469">
      <c r="A469" s="12" t="n">
        <v>45494</v>
      </c>
      <c r="B469" s="13" t="n">
        <v>-6981.03</v>
      </c>
    </row>
    <row r="470">
      <c r="A470" s="12" t="n">
        <v>45495</v>
      </c>
      <c r="B470" s="13" t="n">
        <v>-10483.93</v>
      </c>
    </row>
    <row r="471">
      <c r="A471" s="12" t="n">
        <v>45496</v>
      </c>
      <c r="B471" s="13" t="n">
        <v>-9588.07</v>
      </c>
    </row>
    <row r="472">
      <c r="A472" s="12" t="n">
        <v>45497</v>
      </c>
      <c r="B472" s="13" t="n">
        <v>-1238.11</v>
      </c>
    </row>
    <row r="473">
      <c r="A473" s="12" t="n">
        <v>45498</v>
      </c>
      <c r="B473" s="13" t="n">
        <v>-1244.93</v>
      </c>
    </row>
    <row r="474">
      <c r="A474" s="12" t="n">
        <v>45499</v>
      </c>
      <c r="B474" s="13" t="n">
        <v>-1040.25</v>
      </c>
    </row>
    <row r="475">
      <c r="A475" s="12" t="n">
        <v>45500</v>
      </c>
      <c r="B475" s="13" t="n">
        <v>-5757.67</v>
      </c>
    </row>
    <row r="476">
      <c r="A476" s="12" t="n">
        <v>45501</v>
      </c>
      <c r="B476" s="13" t="n">
        <v>-1712.65</v>
      </c>
    </row>
    <row r="477">
      <c r="A477" s="12" t="n">
        <v>45502</v>
      </c>
      <c r="B477" s="13" t="n">
        <v>-1544.88</v>
      </c>
    </row>
    <row r="478">
      <c r="A478" s="12" t="n">
        <v>45503</v>
      </c>
      <c r="B478" s="13" t="n">
        <v>-13293.83</v>
      </c>
    </row>
    <row r="479">
      <c r="A479" s="12" t="n">
        <v>45504</v>
      </c>
      <c r="B479" s="13" t="n">
        <v>-8839.67</v>
      </c>
    </row>
    <row r="480">
      <c r="A480" s="12" t="n">
        <v>45505</v>
      </c>
      <c r="B480" s="13" t="n">
        <v>-8459.18</v>
      </c>
    </row>
    <row r="481">
      <c r="A481" s="12" t="n">
        <v>45506</v>
      </c>
      <c r="B481" s="13" t="n">
        <v>-9073.17</v>
      </c>
    </row>
    <row r="482">
      <c r="A482" s="12" t="n">
        <v>45507</v>
      </c>
      <c r="B482" s="13" t="n">
        <v>-7561.33</v>
      </c>
    </row>
    <row r="483">
      <c r="A483" s="12" t="n">
        <v>45508</v>
      </c>
      <c r="B483" s="13" t="n">
        <v>-9808.969999999999</v>
      </c>
    </row>
    <row r="484">
      <c r="A484" s="12" t="n">
        <v>45509</v>
      </c>
      <c r="B484" s="13" t="n">
        <v>-6324.09</v>
      </c>
    </row>
    <row r="485">
      <c r="A485" s="12" t="n">
        <v>45510</v>
      </c>
      <c r="B485" s="13" t="n">
        <v>-13406</v>
      </c>
    </row>
    <row r="486">
      <c r="A486" s="12" t="n">
        <v>45511</v>
      </c>
      <c r="B486" s="13" t="n">
        <v>-6581.55</v>
      </c>
    </row>
    <row r="487">
      <c r="A487" s="12" t="n">
        <v>45512</v>
      </c>
      <c r="B487" s="13" t="n">
        <v>-3140.79</v>
      </c>
    </row>
    <row r="488">
      <c r="A488" s="12" t="n">
        <v>45513</v>
      </c>
      <c r="B488" s="13" t="n">
        <v>-5670</v>
      </c>
    </row>
    <row r="489">
      <c r="A489" s="12" t="n">
        <v>45514</v>
      </c>
      <c r="B489" s="13" t="n">
        <v>-220.51</v>
      </c>
    </row>
    <row r="490">
      <c r="A490" s="12" t="n">
        <v>45515</v>
      </c>
      <c r="B490" s="13" t="n">
        <v>-3634.76</v>
      </c>
    </row>
    <row r="491">
      <c r="A491" s="12" t="n">
        <v>45516</v>
      </c>
      <c r="B491" s="13" t="n">
        <v>-9239.120000000001</v>
      </c>
    </row>
    <row r="492">
      <c r="A492" s="12" t="n">
        <v>45517</v>
      </c>
      <c r="B492" s="13" t="n">
        <v>-666.42</v>
      </c>
    </row>
    <row r="493">
      <c r="A493" s="12" t="n">
        <v>45518</v>
      </c>
      <c r="B493" s="13" t="n">
        <v>-7234.15</v>
      </c>
    </row>
    <row r="494">
      <c r="A494" s="12" t="n">
        <v>45519</v>
      </c>
      <c r="B494" s="13" t="n">
        <v>-2049.51</v>
      </c>
    </row>
    <row r="495">
      <c r="A495" s="12" t="n">
        <v>45520</v>
      </c>
      <c r="B495" s="13" t="n">
        <v>-8865.27</v>
      </c>
    </row>
    <row r="496">
      <c r="A496" s="12" t="n">
        <v>45521</v>
      </c>
      <c r="B496" s="13" t="n">
        <v>-3908.47</v>
      </c>
    </row>
    <row r="497">
      <c r="A497" s="12" t="n">
        <v>45522</v>
      </c>
      <c r="B497" s="13" t="n">
        <v>-5587.44</v>
      </c>
    </row>
    <row r="498">
      <c r="A498" s="12" t="n">
        <v>45523</v>
      </c>
      <c r="B498" s="13" t="n">
        <v>-438.75</v>
      </c>
    </row>
    <row r="499">
      <c r="A499" s="12" t="n">
        <v>45524</v>
      </c>
      <c r="B499" s="13" t="n">
        <v>-609.6</v>
      </c>
    </row>
    <row r="500">
      <c r="A500" s="12" t="n">
        <v>45525</v>
      </c>
      <c r="B500" s="13" t="n">
        <v>-818.36</v>
      </c>
    </row>
    <row r="501">
      <c r="A501" s="12" t="n">
        <v>45526</v>
      </c>
      <c r="B501" s="13" t="n">
        <v>-304.44</v>
      </c>
    </row>
    <row r="502">
      <c r="A502" s="12" t="n">
        <v>45527</v>
      </c>
      <c r="B502" s="13" t="n">
        <v>-5515.32</v>
      </c>
    </row>
    <row r="503">
      <c r="A503" s="12" t="n">
        <v>45528</v>
      </c>
      <c r="B503" s="13" t="n">
        <v>-1677.01</v>
      </c>
    </row>
    <row r="504">
      <c r="A504" s="12" t="n">
        <v>45529</v>
      </c>
      <c r="B504" s="13" t="n">
        <v>-4055.55</v>
      </c>
    </row>
    <row r="505">
      <c r="A505" s="12" t="n">
        <v>45530</v>
      </c>
      <c r="B505" s="13" t="n">
        <v>-9899.940000000001</v>
      </c>
    </row>
    <row r="506">
      <c r="A506" s="12" t="n">
        <v>45531</v>
      </c>
      <c r="B506" s="13" t="n">
        <v>-756.74</v>
      </c>
    </row>
    <row r="507">
      <c r="A507" s="12" t="n">
        <v>45532</v>
      </c>
      <c r="B507" s="13" t="n">
        <v>-2620.74</v>
      </c>
    </row>
    <row r="508">
      <c r="A508" s="12" t="n">
        <v>45533</v>
      </c>
      <c r="B508" s="13" t="n">
        <v>-11090.24</v>
      </c>
    </row>
    <row r="509">
      <c r="A509" s="12" t="n">
        <v>45534</v>
      </c>
      <c r="B509" s="13" t="n">
        <v>-2174.16</v>
      </c>
    </row>
    <row r="510">
      <c r="A510" s="12" t="n">
        <v>45535</v>
      </c>
      <c r="B510" s="13" t="n">
        <v>-874.15</v>
      </c>
    </row>
    <row r="511">
      <c r="A511" s="12" t="n">
        <v>45536</v>
      </c>
      <c r="B511" s="13" t="n">
        <v>-6043.25</v>
      </c>
    </row>
    <row r="512">
      <c r="A512" s="12" t="n">
        <v>45537</v>
      </c>
      <c r="B512" s="13" t="n">
        <v>-2766.12</v>
      </c>
    </row>
    <row r="513">
      <c r="A513" s="12" t="n">
        <v>45538</v>
      </c>
      <c r="B513" s="13" t="n">
        <v>-8171.26</v>
      </c>
    </row>
    <row r="514">
      <c r="A514" s="12" t="n">
        <v>45539</v>
      </c>
      <c r="B514" s="13" t="n">
        <v>-5401.21</v>
      </c>
    </row>
    <row r="515">
      <c r="A515" s="12" t="n">
        <v>45540</v>
      </c>
      <c r="B515" s="13" t="n">
        <v>-3548.02</v>
      </c>
    </row>
    <row r="516">
      <c r="A516" s="12" t="n">
        <v>45541</v>
      </c>
      <c r="B516" s="13" t="n">
        <v>-160.83</v>
      </c>
    </row>
    <row r="517">
      <c r="A517" s="12" t="n">
        <v>45542</v>
      </c>
      <c r="B517" s="13" t="n">
        <v>-3806.16</v>
      </c>
    </row>
    <row r="518">
      <c r="A518" s="12" t="n">
        <v>45543</v>
      </c>
      <c r="B518" s="13" t="n">
        <v>-6133.41</v>
      </c>
    </row>
    <row r="519">
      <c r="A519" s="12" t="n">
        <v>45544</v>
      </c>
      <c r="B519" s="13" t="n">
        <v>-8802.969999999999</v>
      </c>
    </row>
    <row r="520">
      <c r="A520" s="12" t="n">
        <v>45545</v>
      </c>
      <c r="B520" s="13" t="n">
        <v>-1106.34</v>
      </c>
    </row>
    <row r="521">
      <c r="A521" s="12" t="n">
        <v>45546</v>
      </c>
      <c r="B521" s="13" t="n">
        <v>-7949.03</v>
      </c>
    </row>
    <row r="522">
      <c r="A522" s="12" t="n">
        <v>45547</v>
      </c>
      <c r="B522" s="13" t="n">
        <v>-259.77</v>
      </c>
    </row>
    <row r="523">
      <c r="A523" s="12" t="n">
        <v>45548</v>
      </c>
      <c r="B523" s="13" t="n">
        <v>-2114.3</v>
      </c>
    </row>
    <row r="524">
      <c r="A524" s="12" t="n">
        <v>45549</v>
      </c>
      <c r="B524" s="13" t="n">
        <v>-5495.3</v>
      </c>
    </row>
    <row r="525">
      <c r="A525" s="12" t="n">
        <v>45550</v>
      </c>
      <c r="B525" s="13" t="n">
        <v>-8461.459999999999</v>
      </c>
    </row>
    <row r="526">
      <c r="A526" s="12" t="n">
        <v>45551</v>
      </c>
      <c r="B526" s="13" t="n">
        <v>-5058.83</v>
      </c>
    </row>
    <row r="527">
      <c r="A527" s="12" t="n">
        <v>45552</v>
      </c>
      <c r="B527" s="13" t="n">
        <v>-8885</v>
      </c>
    </row>
    <row r="528">
      <c r="A528" s="12" t="n">
        <v>45553</v>
      </c>
      <c r="B528" s="13" t="n">
        <v>-530.8099999999999</v>
      </c>
    </row>
    <row r="529">
      <c r="A529" s="12" t="n">
        <v>45554</v>
      </c>
      <c r="B529" s="13" t="n">
        <v>-9379.530000000001</v>
      </c>
    </row>
    <row r="530">
      <c r="A530" s="12" t="n">
        <v>45555</v>
      </c>
      <c r="B530" s="13" t="n">
        <v>-6475.13</v>
      </c>
    </row>
    <row r="531">
      <c r="A531" s="12" t="n">
        <v>45556</v>
      </c>
      <c r="B531" s="13" t="n">
        <v>-319.04</v>
      </c>
    </row>
    <row r="532">
      <c r="A532" s="12" t="n">
        <v>45557</v>
      </c>
      <c r="B532" s="13" t="n">
        <v>-5298.85</v>
      </c>
    </row>
    <row r="533">
      <c r="A533" s="12" t="n">
        <v>45558</v>
      </c>
      <c r="B533" s="13" t="n">
        <v>-490.57</v>
      </c>
    </row>
    <row r="534">
      <c r="A534" s="12" t="n">
        <v>45559</v>
      </c>
      <c r="B534" s="13" t="n">
        <v>-11310.27</v>
      </c>
    </row>
    <row r="535">
      <c r="A535" s="12" t="n">
        <v>45560</v>
      </c>
      <c r="B535" s="13" t="n">
        <v>-3988.75</v>
      </c>
    </row>
    <row r="536">
      <c r="A536" s="12" t="n">
        <v>45561</v>
      </c>
      <c r="B536" s="13" t="n">
        <v>-7484.32</v>
      </c>
    </row>
    <row r="537">
      <c r="A537" s="12" t="n">
        <v>45562</v>
      </c>
      <c r="B537" s="13" t="n">
        <v>-5963.1</v>
      </c>
    </row>
    <row r="538">
      <c r="A538" s="12" t="n">
        <v>45563</v>
      </c>
      <c r="B538" s="13" t="n">
        <v>-10427</v>
      </c>
    </row>
    <row r="539">
      <c r="A539" s="12" t="n">
        <v>45564</v>
      </c>
      <c r="B539" s="13" t="n">
        <v>-1100.06</v>
      </c>
    </row>
    <row r="540">
      <c r="A540" s="12" t="n">
        <v>45565</v>
      </c>
      <c r="B540" s="13" t="n">
        <v>-910.26</v>
      </c>
    </row>
    <row r="541">
      <c r="A541" s="12" t="n">
        <v>45566</v>
      </c>
      <c r="B541" s="13" t="n">
        <v>-6684.34</v>
      </c>
    </row>
    <row r="542">
      <c r="A542" s="12" t="n">
        <v>45567</v>
      </c>
      <c r="B542" s="13" t="n">
        <v>-8524.09</v>
      </c>
    </row>
    <row r="543">
      <c r="A543" s="12" t="n">
        <v>45568</v>
      </c>
      <c r="B543" s="13" t="n">
        <v>-5126.65</v>
      </c>
    </row>
    <row r="544">
      <c r="A544" s="12" t="n">
        <v>45569</v>
      </c>
      <c r="B544" s="13" t="n">
        <v>-873.89</v>
      </c>
    </row>
    <row r="545">
      <c r="A545" s="12" t="n">
        <v>45570</v>
      </c>
      <c r="B545" s="13" t="n">
        <v>-7059.77</v>
      </c>
    </row>
    <row r="546">
      <c r="A546" s="12" t="n">
        <v>45571</v>
      </c>
      <c r="B546" s="13" t="n">
        <v>-11991.24</v>
      </c>
    </row>
    <row r="547">
      <c r="A547" s="12" t="n">
        <v>45572</v>
      </c>
      <c r="B547" s="13" t="n">
        <v>-8086.04</v>
      </c>
    </row>
    <row r="548">
      <c r="A548" s="12" t="n">
        <v>45573</v>
      </c>
      <c r="B548" s="13" t="n">
        <v>-12626.49</v>
      </c>
    </row>
    <row r="549">
      <c r="A549" s="12" t="n">
        <v>45574</v>
      </c>
      <c r="B549" s="13" t="n">
        <v>-1730.28</v>
      </c>
    </row>
    <row r="550">
      <c r="A550" s="12" t="n">
        <v>45575</v>
      </c>
      <c r="B550" s="13" t="n">
        <v>-3143.17</v>
      </c>
    </row>
    <row r="551">
      <c r="A551" s="12" t="n">
        <v>45576</v>
      </c>
      <c r="B551" s="13" t="n">
        <v>-1242.49</v>
      </c>
    </row>
    <row r="552">
      <c r="A552" s="12" t="n">
        <v>45577</v>
      </c>
      <c r="B552" s="13" t="n">
        <v>-416.89</v>
      </c>
    </row>
    <row r="553">
      <c r="A553" s="12" t="n">
        <v>45578</v>
      </c>
      <c r="B553" s="13" t="n">
        <v>-5929.08</v>
      </c>
    </row>
    <row r="554">
      <c r="A554" s="12" t="n">
        <v>45579</v>
      </c>
      <c r="B554" s="13" t="n">
        <v>-479.08</v>
      </c>
    </row>
    <row r="555">
      <c r="A555" s="12" t="n">
        <v>45580</v>
      </c>
      <c r="B555" s="13" t="n">
        <v>-797.1</v>
      </c>
    </row>
    <row r="556">
      <c r="A556" s="12" t="n">
        <v>45581</v>
      </c>
      <c r="B556" s="13" t="n">
        <v>-7287.94</v>
      </c>
    </row>
    <row r="557">
      <c r="A557" s="12" t="n">
        <v>45582</v>
      </c>
      <c r="B557" s="13" t="n">
        <v>-2712.96</v>
      </c>
    </row>
    <row r="558">
      <c r="A558" s="12" t="n">
        <v>45583</v>
      </c>
      <c r="B558" s="13" t="n">
        <v>-1433.66</v>
      </c>
    </row>
    <row r="559">
      <c r="A559" s="12" t="n">
        <v>45584</v>
      </c>
      <c r="B559" s="13" t="n">
        <v>-7336.56</v>
      </c>
    </row>
    <row r="560">
      <c r="A560" s="12" t="n">
        <v>45585</v>
      </c>
      <c r="B560" s="13" t="n">
        <v>-475.63</v>
      </c>
    </row>
    <row r="561">
      <c r="A561" s="12" t="n">
        <v>45586</v>
      </c>
      <c r="B561" s="13" t="n">
        <v>-11698.15</v>
      </c>
    </row>
    <row r="562">
      <c r="A562" s="12" t="n">
        <v>45587</v>
      </c>
      <c r="B562" s="13" t="n">
        <v>-12042.79</v>
      </c>
    </row>
    <row r="563">
      <c r="A563" s="12" t="n">
        <v>45588</v>
      </c>
      <c r="B563" s="13" t="n">
        <v>-518.54</v>
      </c>
    </row>
    <row r="564">
      <c r="A564" s="12" t="n">
        <v>45589</v>
      </c>
      <c r="B564" s="13" t="n">
        <v>-1258.93</v>
      </c>
    </row>
    <row r="565">
      <c r="A565" s="12" t="n">
        <v>45590</v>
      </c>
      <c r="B565" s="13" t="n">
        <v>-9127.65</v>
      </c>
    </row>
    <row r="566">
      <c r="A566" s="12" t="n">
        <v>45591</v>
      </c>
      <c r="B566" s="13" t="n">
        <v>-4471.05</v>
      </c>
    </row>
    <row r="567">
      <c r="A567" s="12" t="n">
        <v>45592</v>
      </c>
      <c r="B567" s="13" t="n">
        <v>-6214.54</v>
      </c>
    </row>
    <row r="568">
      <c r="A568" s="12" t="n">
        <v>45593</v>
      </c>
      <c r="B568" s="13" t="n">
        <v>-354.9</v>
      </c>
    </row>
    <row r="569">
      <c r="A569" s="12" t="n">
        <v>45594</v>
      </c>
      <c r="B569" s="13" t="n">
        <v>-791.46</v>
      </c>
    </row>
    <row r="570">
      <c r="A570" s="12" t="n">
        <v>45595</v>
      </c>
      <c r="B570" s="13" t="n">
        <v>-5878.89</v>
      </c>
    </row>
    <row r="571">
      <c r="A571" s="12" t="n">
        <v>45596</v>
      </c>
      <c r="B571" s="13" t="n">
        <v>-533.2</v>
      </c>
    </row>
    <row r="572">
      <c r="A572" s="12" t="n">
        <v>45597</v>
      </c>
      <c r="B572" s="13" t="n">
        <v>-897.9400000000001</v>
      </c>
    </row>
    <row r="573">
      <c r="A573" s="12" t="n">
        <v>45598</v>
      </c>
      <c r="B573" s="13" t="n">
        <v>-9159.559999999999</v>
      </c>
    </row>
    <row r="574">
      <c r="A574" s="12" t="n">
        <v>45599</v>
      </c>
      <c r="B574" s="13" t="n">
        <v>-4392.73</v>
      </c>
    </row>
    <row r="575">
      <c r="A575" s="12" t="n">
        <v>45600</v>
      </c>
      <c r="B575" s="13" t="n">
        <v>-1390.98</v>
      </c>
    </row>
    <row r="576">
      <c r="A576" s="12" t="n">
        <v>45601</v>
      </c>
      <c r="B576" s="13" t="n">
        <v>-2008.77</v>
      </c>
    </row>
    <row r="577">
      <c r="A577" s="12" t="n">
        <v>45602</v>
      </c>
      <c r="B577" s="13" t="n">
        <v>-6356.96</v>
      </c>
    </row>
    <row r="578">
      <c r="A578" s="12" t="n">
        <v>45603</v>
      </c>
      <c r="B578" s="13" t="n">
        <v>-6009.12</v>
      </c>
    </row>
    <row r="579">
      <c r="A579" s="12" t="n">
        <v>45604</v>
      </c>
      <c r="B579" s="13" t="n">
        <v>-7896.85</v>
      </c>
    </row>
    <row r="580">
      <c r="A580" s="12" t="n">
        <v>45605</v>
      </c>
      <c r="B580" s="13" t="n">
        <v>-1649.43</v>
      </c>
    </row>
    <row r="581">
      <c r="A581" s="12" t="n">
        <v>45606</v>
      </c>
      <c r="B581" s="13" t="n">
        <v>-2840.43</v>
      </c>
    </row>
    <row r="582">
      <c r="A582" s="12" t="n">
        <v>45607</v>
      </c>
      <c r="B582" s="13" t="n">
        <v>-3274.96</v>
      </c>
    </row>
    <row r="583">
      <c r="A583" s="12" t="n">
        <v>45608</v>
      </c>
      <c r="B583" s="13" t="n">
        <v>-6501.56</v>
      </c>
    </row>
    <row r="584">
      <c r="A584" s="12" t="n">
        <v>45609</v>
      </c>
      <c r="B584" s="13" t="n">
        <v>-363.92</v>
      </c>
    </row>
    <row r="585">
      <c r="A585" s="12" t="n">
        <v>45610</v>
      </c>
      <c r="B585" s="13" t="n">
        <v>-9748.48</v>
      </c>
    </row>
    <row r="586">
      <c r="A586" s="12" t="n">
        <v>45611</v>
      </c>
      <c r="B586" s="13" t="n">
        <v>-1404.53</v>
      </c>
    </row>
    <row r="587">
      <c r="A587" s="12" t="n">
        <v>45612</v>
      </c>
      <c r="B587" s="13" t="n">
        <v>-706.4400000000001</v>
      </c>
    </row>
    <row r="588">
      <c r="A588" s="12" t="n">
        <v>45613</v>
      </c>
      <c r="B588" s="13" t="n">
        <v>-5095.73</v>
      </c>
    </row>
    <row r="589">
      <c r="A589" s="12" t="n">
        <v>45614</v>
      </c>
      <c r="B589" s="13" t="n">
        <v>-7844.23</v>
      </c>
    </row>
    <row r="590">
      <c r="A590" s="12" t="n">
        <v>45615</v>
      </c>
      <c r="B590" s="13" t="n">
        <v>-1119.61</v>
      </c>
    </row>
    <row r="591">
      <c r="A591" s="12" t="n">
        <v>45616</v>
      </c>
      <c r="B591" s="13" t="n">
        <v>-5313.97</v>
      </c>
    </row>
    <row r="592">
      <c r="A592" s="12" t="n">
        <v>45617</v>
      </c>
      <c r="B592" s="13" t="n">
        <v>-6227.99</v>
      </c>
    </row>
    <row r="593">
      <c r="A593" s="12" t="n">
        <v>45618</v>
      </c>
      <c r="B593" s="13" t="n">
        <v>-6810.94</v>
      </c>
    </row>
    <row r="594">
      <c r="A594" s="12" t="n">
        <v>45619</v>
      </c>
      <c r="B594" s="13" t="n">
        <v>-1457.07</v>
      </c>
    </row>
    <row r="595">
      <c r="A595" s="12" t="n">
        <v>45620</v>
      </c>
      <c r="B595" s="13" t="n">
        <v>-813.6799999999999</v>
      </c>
    </row>
    <row r="596">
      <c r="A596" s="12" t="n">
        <v>45621</v>
      </c>
      <c r="B596" s="13" t="n">
        <v>-10269.78</v>
      </c>
    </row>
    <row r="597">
      <c r="A597" s="12" t="n">
        <v>45622</v>
      </c>
      <c r="B597" s="13" t="n">
        <v>-672.79</v>
      </c>
    </row>
    <row r="598">
      <c r="A598" s="12" t="n">
        <v>45623</v>
      </c>
      <c r="B598" s="13" t="n">
        <v>-6372.58</v>
      </c>
    </row>
    <row r="599">
      <c r="A599" s="12" t="n">
        <v>45624</v>
      </c>
      <c r="B599" s="13" t="n">
        <v>-2569.56</v>
      </c>
    </row>
    <row r="600">
      <c r="A600" s="12" t="n">
        <v>45625</v>
      </c>
      <c r="B600" s="13" t="n">
        <v>-10585.48</v>
      </c>
    </row>
    <row r="601">
      <c r="A601" s="12" t="n">
        <v>45626</v>
      </c>
      <c r="B601" s="13" t="n">
        <v>-717.99</v>
      </c>
    </row>
    <row r="602">
      <c r="A602" s="12" t="n">
        <v>45627</v>
      </c>
      <c r="B602" s="13" t="n">
        <v>-3689.65</v>
      </c>
    </row>
    <row r="603">
      <c r="A603" s="12" t="n">
        <v>45628</v>
      </c>
      <c r="B603" s="13" t="n">
        <v>-1512.16</v>
      </c>
    </row>
    <row r="604">
      <c r="A604" s="12" t="n">
        <v>45629</v>
      </c>
      <c r="B604" s="13" t="n">
        <v>-9800.209999999999</v>
      </c>
    </row>
    <row r="605">
      <c r="A605" s="12" t="n">
        <v>45630</v>
      </c>
      <c r="B605" s="13" t="n">
        <v>-7014.69</v>
      </c>
    </row>
    <row r="606">
      <c r="A606" s="12" t="n">
        <v>45631</v>
      </c>
      <c r="B606" s="13" t="n">
        <v>-3520.61</v>
      </c>
    </row>
    <row r="607">
      <c r="A607" s="12" t="n">
        <v>45632</v>
      </c>
      <c r="B607" s="13" t="n">
        <v>-4913.42</v>
      </c>
    </row>
    <row r="608">
      <c r="A608" s="12" t="n">
        <v>45633</v>
      </c>
      <c r="B608" s="13" t="n">
        <v>-9155.35</v>
      </c>
    </row>
    <row r="609">
      <c r="A609" s="12" t="n">
        <v>45634</v>
      </c>
      <c r="B609" s="13" t="n">
        <v>-2567.53</v>
      </c>
    </row>
    <row r="610">
      <c r="A610" s="12" t="n">
        <v>45635</v>
      </c>
      <c r="B610" s="13" t="n">
        <v>-3779.47</v>
      </c>
    </row>
    <row r="611">
      <c r="A611" s="12" t="n">
        <v>45636</v>
      </c>
      <c r="B611" s="13" t="n">
        <v>-6530.59</v>
      </c>
    </row>
    <row r="612">
      <c r="A612" s="12" t="n">
        <v>45637</v>
      </c>
      <c r="B612" s="13" t="n">
        <v>-7895.54</v>
      </c>
    </row>
    <row r="613">
      <c r="A613" s="12" t="n">
        <v>45638</v>
      </c>
      <c r="B613" s="13" t="n">
        <v>-6781.3</v>
      </c>
    </row>
    <row r="614">
      <c r="A614" s="12" t="n">
        <v>45639</v>
      </c>
      <c r="B614" s="13" t="n">
        <v>-2091.78</v>
      </c>
    </row>
    <row r="615">
      <c r="A615" s="12" t="n">
        <v>45640</v>
      </c>
      <c r="B615" s="13" t="n">
        <v>-11108.39</v>
      </c>
    </row>
    <row r="616">
      <c r="A616" s="12" t="n">
        <v>45641</v>
      </c>
      <c r="B616" s="13" t="n">
        <v>-9088.360000000001</v>
      </c>
    </row>
    <row r="617">
      <c r="A617" s="12" t="n">
        <v>45642</v>
      </c>
      <c r="B617" s="13" t="n">
        <v>-4671.69</v>
      </c>
    </row>
    <row r="618">
      <c r="A618" s="12" t="n">
        <v>45643</v>
      </c>
      <c r="B618" s="13" t="n">
        <v>-7534.73</v>
      </c>
    </row>
    <row r="619">
      <c r="A619" s="12" t="n">
        <v>45644</v>
      </c>
      <c r="B619" s="13" t="n">
        <v>-6353.14</v>
      </c>
    </row>
    <row r="620">
      <c r="A620" s="12" t="n">
        <v>45645</v>
      </c>
      <c r="B620" s="13" t="n">
        <v>-13587.52</v>
      </c>
    </row>
    <row r="621">
      <c r="A621" s="12" t="n">
        <v>45646</v>
      </c>
      <c r="B621" s="13" t="n">
        <v>-1351.24</v>
      </c>
    </row>
    <row r="622">
      <c r="A622" s="12" t="n">
        <v>45647</v>
      </c>
      <c r="B622" s="13" t="n">
        <v>-2797.26</v>
      </c>
    </row>
    <row r="623">
      <c r="A623" s="12" t="n">
        <v>45648</v>
      </c>
      <c r="B623" s="13" t="n">
        <v>-3728.04</v>
      </c>
    </row>
    <row r="624">
      <c r="A624" s="12" t="n">
        <v>45649</v>
      </c>
      <c r="B624" s="13" t="n">
        <v>-6067.44</v>
      </c>
    </row>
    <row r="625">
      <c r="A625" s="12" t="n">
        <v>45650</v>
      </c>
      <c r="B625" s="13" t="n">
        <v>-4292.16</v>
      </c>
    </row>
    <row r="626">
      <c r="A626" s="12" t="n">
        <v>45651</v>
      </c>
      <c r="B626" s="13" t="n">
        <v>-3801.82</v>
      </c>
    </row>
    <row r="627">
      <c r="A627" s="12" t="n">
        <v>45652</v>
      </c>
      <c r="B627" s="13" t="n">
        <v>-11869.71</v>
      </c>
    </row>
    <row r="628">
      <c r="A628" s="12" t="n">
        <v>45653</v>
      </c>
      <c r="B628" s="13" t="n">
        <v>-9409.43</v>
      </c>
    </row>
    <row r="629">
      <c r="A629" s="12" t="n">
        <v>45654</v>
      </c>
      <c r="B629" s="13" t="n">
        <v>-6003.59</v>
      </c>
    </row>
    <row r="630">
      <c r="A630" s="12" t="n">
        <v>45655</v>
      </c>
      <c r="B630" s="13" t="n">
        <v>-3663.64</v>
      </c>
    </row>
    <row r="631">
      <c r="A631" s="12" t="n">
        <v>45656</v>
      </c>
      <c r="B631" s="13" t="n">
        <v>-319.65</v>
      </c>
    </row>
    <row r="632">
      <c r="A632" s="12" t="n">
        <v>45657</v>
      </c>
      <c r="B632" s="13" t="n">
        <v>-13446.81</v>
      </c>
    </row>
    <row r="633">
      <c r="A633" s="12" t="n">
        <v>45658</v>
      </c>
      <c r="B633" s="13" t="n">
        <v>-4201.22</v>
      </c>
    </row>
    <row r="634">
      <c r="A634" s="12" t="n">
        <v>45659</v>
      </c>
      <c r="B634" s="13" t="n">
        <v>-8870.889999999999</v>
      </c>
    </row>
    <row r="635">
      <c r="A635" s="12" t="n">
        <v>45660</v>
      </c>
      <c r="B635" s="13" t="n">
        <v>-906.2</v>
      </c>
    </row>
    <row r="636">
      <c r="A636" s="12" t="n">
        <v>45661</v>
      </c>
      <c r="B636" s="13" t="n">
        <v>-9286.370000000001</v>
      </c>
    </row>
    <row r="637">
      <c r="A637" s="12" t="n">
        <v>45662</v>
      </c>
      <c r="B637" s="13" t="n">
        <v>-9733.59</v>
      </c>
    </row>
    <row r="638">
      <c r="A638" s="12" t="n">
        <v>45663</v>
      </c>
      <c r="B638" s="13" t="n">
        <v>-2756.2</v>
      </c>
    </row>
    <row r="639">
      <c r="A639" s="12" t="n">
        <v>45664</v>
      </c>
      <c r="B639" s="13" t="n">
        <v>-6655.15</v>
      </c>
    </row>
    <row r="640">
      <c r="A640" s="12" t="n">
        <v>45665</v>
      </c>
      <c r="B640" s="13" t="n">
        <v>-3233.87</v>
      </c>
    </row>
    <row r="641">
      <c r="A641" s="12" t="n">
        <v>45666</v>
      </c>
      <c r="B641" s="13" t="n">
        <v>-1676.57</v>
      </c>
    </row>
    <row r="642">
      <c r="A642" s="12" t="n">
        <v>45667</v>
      </c>
      <c r="B642" s="13" t="n">
        <v>-8371.110000000001</v>
      </c>
    </row>
    <row r="643">
      <c r="A643" s="12" t="n">
        <v>45668</v>
      </c>
      <c r="B643" s="13" t="n">
        <v>-7281.46</v>
      </c>
    </row>
    <row r="644">
      <c r="A644" s="12" t="n">
        <v>45669</v>
      </c>
      <c r="B644" s="13" t="n">
        <v>-6847.47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6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4" customWidth="1" min="4" max="4"/>
    <col width="12" customWidth="1" min="5" max="5"/>
    <col width="12" customWidth="1" min="6" max="6"/>
    <col width="10" customWidth="1" min="7" max="7"/>
    <col width="15" customWidth="1" min="8" max="8"/>
    <col width="10" customWidth="1" min="9" max="9"/>
    <col width="10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3" customWidth="1" min="16" max="16"/>
    <col width="16" customWidth="1" min="17" max="17"/>
  </cols>
  <sheetData>
    <row r="1">
      <c r="A1" s="14" t="inlineStr">
        <is>
          <t>Date</t>
        </is>
      </c>
      <c r="B1" s="14" t="inlineStr">
        <is>
          <t>Value</t>
        </is>
      </c>
      <c r="C1" s="14" t="inlineStr">
        <is>
          <t>Rolling_Mean_30</t>
        </is>
      </c>
      <c r="D1" s="14" t="inlineStr">
        <is>
          <t>Rolling_Std_30</t>
        </is>
      </c>
      <c r="E1" s="14" t="inlineStr">
        <is>
          <t>UCL_3sigma</t>
        </is>
      </c>
      <c r="F1" s="14" t="inlineStr">
        <is>
          <t>LCL_3sigma</t>
        </is>
      </c>
      <c r="G1" s="14" t="inlineStr">
        <is>
          <t>Z_Score</t>
        </is>
      </c>
      <c r="H1" s="14" t="inlineStr">
        <is>
          <t>Rolling_Median_30</t>
        </is>
      </c>
      <c r="I1" s="14" t="inlineStr">
        <is>
          <t>MAD_30</t>
        </is>
      </c>
      <c r="J1" s="14" t="inlineStr">
        <is>
          <t>Robust_Z</t>
        </is>
      </c>
      <c r="K1" s="14" t="inlineStr">
        <is>
          <t>EWMA</t>
        </is>
      </c>
      <c r="L1" s="14" t="inlineStr">
        <is>
          <t>EWMA_UCL</t>
        </is>
      </c>
      <c r="M1" s="14" t="inlineStr">
        <is>
          <t>EWMA_LCL</t>
        </is>
      </c>
      <c r="N1" s="14" t="inlineStr">
        <is>
          <t>CUSUM_Pos</t>
        </is>
      </c>
      <c r="O1" s="14" t="inlineStr">
        <is>
          <t>CUSUM_Neg</t>
        </is>
      </c>
      <c r="P1" s="14" t="inlineStr">
        <is>
          <t>Consec_Breach</t>
        </is>
      </c>
      <c r="Q1" s="14" t="inlineStr">
        <is>
          <t>Status</t>
        </is>
      </c>
    </row>
    <row r="2">
      <c r="A2" s="12" t="n">
        <v>45027</v>
      </c>
      <c r="B2" s="13">
        <f>Raw_Data!B2</f>
        <v/>
      </c>
      <c r="K2">
        <f>B2</f>
        <v/>
      </c>
      <c r="Q2" t="inlineStr">
        <is>
          <t>Insufficient History</t>
        </is>
      </c>
    </row>
    <row r="3">
      <c r="A3" s="12" t="n">
        <v>45028</v>
      </c>
      <c r="B3" s="13">
        <f>Raw_Data!B3</f>
        <v/>
      </c>
      <c r="K3">
        <f>0.2*B3+0.8*K2</f>
        <v/>
      </c>
      <c r="Q3" t="inlineStr">
        <is>
          <t>Insufficient History</t>
        </is>
      </c>
    </row>
    <row r="4">
      <c r="A4" s="12" t="n">
        <v>45029</v>
      </c>
      <c r="B4" s="13">
        <f>Raw_Data!B4</f>
        <v/>
      </c>
      <c r="K4">
        <f>0.2*B4+0.8*K3</f>
        <v/>
      </c>
      <c r="Q4" t="inlineStr">
        <is>
          <t>Insufficient History</t>
        </is>
      </c>
    </row>
    <row r="5">
      <c r="A5" s="12" t="n">
        <v>45030</v>
      </c>
      <c r="B5" s="13">
        <f>Raw_Data!B5</f>
        <v/>
      </c>
      <c r="K5">
        <f>0.2*B5+0.8*K4</f>
        <v/>
      </c>
      <c r="Q5" t="inlineStr">
        <is>
          <t>Insufficient History</t>
        </is>
      </c>
    </row>
    <row r="6">
      <c r="A6" s="12" t="n">
        <v>45031</v>
      </c>
      <c r="B6" s="13">
        <f>Raw_Data!B6</f>
        <v/>
      </c>
      <c r="K6">
        <f>0.2*B6+0.8*K5</f>
        <v/>
      </c>
      <c r="Q6" t="inlineStr">
        <is>
          <t>Insufficient History</t>
        </is>
      </c>
    </row>
    <row r="7">
      <c r="A7" s="12" t="n">
        <v>45032</v>
      </c>
      <c r="B7" s="13">
        <f>Raw_Data!B7</f>
        <v/>
      </c>
      <c r="K7">
        <f>0.2*B7+0.8*K6</f>
        <v/>
      </c>
      <c r="Q7" t="inlineStr">
        <is>
          <t>Insufficient History</t>
        </is>
      </c>
    </row>
    <row r="8">
      <c r="A8" s="12" t="n">
        <v>45033</v>
      </c>
      <c r="B8" s="13">
        <f>Raw_Data!B8</f>
        <v/>
      </c>
      <c r="K8">
        <f>0.2*B8+0.8*K7</f>
        <v/>
      </c>
      <c r="Q8" t="inlineStr">
        <is>
          <t>Insufficient History</t>
        </is>
      </c>
    </row>
    <row r="9">
      <c r="A9" s="12" t="n">
        <v>45034</v>
      </c>
      <c r="B9" s="13">
        <f>Raw_Data!B9</f>
        <v/>
      </c>
      <c r="K9">
        <f>0.2*B9+0.8*K8</f>
        <v/>
      </c>
      <c r="Q9" t="inlineStr">
        <is>
          <t>Insufficient History</t>
        </is>
      </c>
    </row>
    <row r="10">
      <c r="A10" s="12" t="n">
        <v>45035</v>
      </c>
      <c r="B10" s="13">
        <f>Raw_Data!B10</f>
        <v/>
      </c>
      <c r="K10">
        <f>0.2*B10+0.8*K9</f>
        <v/>
      </c>
      <c r="Q10" t="inlineStr">
        <is>
          <t>Insufficient History</t>
        </is>
      </c>
    </row>
    <row r="11">
      <c r="A11" s="12" t="n">
        <v>45036</v>
      </c>
      <c r="B11" s="13">
        <f>Raw_Data!B11</f>
        <v/>
      </c>
      <c r="C11" s="13">
        <f>AVERAGE(B2:B11)</f>
        <v/>
      </c>
      <c r="D11" s="13">
        <f>STDEV.S(B2:B11)</f>
        <v/>
      </c>
      <c r="E11" s="13">
        <f>C11+3*D11</f>
        <v/>
      </c>
      <c r="F11" s="13">
        <f>C11-3*D11</f>
        <v/>
      </c>
      <c r="G11" s="15">
        <f>IF(D11=0,"",(B11-C11)/D11)</f>
        <v/>
      </c>
      <c r="H11" s="13">
        <f>MEDIAN(B2:B11)</f>
        <v/>
      </c>
      <c r="I11" s="13">
        <f>MEDIAN(ABS(B2:B11-H11))</f>
        <v/>
      </c>
      <c r="J11" s="15">
        <f>IF(I11=0,"",0.6745*(B11-H11)/I11)</f>
        <v/>
      </c>
      <c r="K11" s="13">
        <f>0.2*B11+0.8*K10</f>
        <v/>
      </c>
      <c r="L11" s="13">
        <f>C11+3*D11*SQRT(0.2/(2-0.2))</f>
        <v/>
      </c>
      <c r="M11" s="13">
        <f>C11-3*D11*SQRT(0.2/(2-0.2))</f>
        <v/>
      </c>
      <c r="N11" s="13">
        <f>MAX(0,B11-C11-0.5*D11)</f>
        <v/>
      </c>
      <c r="O11" s="13">
        <f>MIN(0,B11-C11+0.5*D11)</f>
        <v/>
      </c>
      <c r="P11">
        <f>IF(ABS(G11)&gt;1,1,0)</f>
        <v/>
      </c>
      <c r="Q11">
        <f>IFS(OR(ABS(G11)&gt;3,N11&gt;5*D11,ABS(O11)&gt;5*D11,P11&gt;=5),"CRITICAL",OR(ABS(G11)&gt;2,P11&gt;=3,ABS(J11)&gt;3.5),"EARLY WARNING",ABS(G11)&gt;1,"WATCH",TRUE,"NORMAL")</f>
        <v/>
      </c>
    </row>
    <row r="12">
      <c r="A12" s="12" t="n">
        <v>45037</v>
      </c>
      <c r="B12" s="13">
        <f>Raw_Data!B12</f>
        <v/>
      </c>
      <c r="C12" s="13">
        <f>AVERAGE(B2:B12)</f>
        <v/>
      </c>
      <c r="D12" s="13">
        <f>STDEV.S(B2:B12)</f>
        <v/>
      </c>
      <c r="E12" s="13">
        <f>C12+3*D12</f>
        <v/>
      </c>
      <c r="F12" s="13">
        <f>C12-3*D12</f>
        <v/>
      </c>
      <c r="G12" s="15">
        <f>IF(D12=0,"",(B12-C12)/D12)</f>
        <v/>
      </c>
      <c r="H12" s="13">
        <f>MEDIAN(B2:B12)</f>
        <v/>
      </c>
      <c r="I12" s="13">
        <f>MEDIAN(ABS(B2:B12-H12))</f>
        <v/>
      </c>
      <c r="J12" s="15">
        <f>IF(I12=0,"",0.6745*(B12-H12)/I12)</f>
        <v/>
      </c>
      <c r="K12" s="13">
        <f>0.2*B12+0.8*K11</f>
        <v/>
      </c>
      <c r="L12" s="13">
        <f>C12+3*D12*SQRT(0.2/(2-0.2))</f>
        <v/>
      </c>
      <c r="M12" s="13">
        <f>C12-3*D12*SQRT(0.2/(2-0.2))</f>
        <v/>
      </c>
      <c r="N12" s="13">
        <f>MAX(0,N11+(B12-C12-0.5*D12))</f>
        <v/>
      </c>
      <c r="O12" s="13">
        <f>MIN(0,O11+(B12-C12+0.5*D12))</f>
        <v/>
      </c>
      <c r="P12">
        <f>IF(ABS(G12)&gt;1,P11+1,0)</f>
        <v/>
      </c>
      <c r="Q12">
        <f>IFS(OR(ABS(G12)&gt;3,N12&gt;5*D12,ABS(O12)&gt;5*D12,P12&gt;=5),"CRITICAL",OR(ABS(G12)&gt;2,P12&gt;=3,ABS(J12)&gt;3.5),"EARLY WARNING",ABS(G12)&gt;1,"WATCH",TRUE,"NORMAL")</f>
        <v/>
      </c>
    </row>
    <row r="13">
      <c r="A13" s="12" t="n">
        <v>45038</v>
      </c>
      <c r="B13" s="13">
        <f>Raw_Data!B13</f>
        <v/>
      </c>
      <c r="C13" s="13">
        <f>AVERAGE(B2:B13)</f>
        <v/>
      </c>
      <c r="D13" s="13">
        <f>STDEV.S(B2:B13)</f>
        <v/>
      </c>
      <c r="E13" s="13">
        <f>C13+3*D13</f>
        <v/>
      </c>
      <c r="F13" s="13">
        <f>C13-3*D13</f>
        <v/>
      </c>
      <c r="G13" s="15">
        <f>IF(D13=0,"",(B13-C13)/D13)</f>
        <v/>
      </c>
      <c r="H13" s="13">
        <f>MEDIAN(B2:B13)</f>
        <v/>
      </c>
      <c r="I13" s="13">
        <f>MEDIAN(ABS(B2:B13-H13))</f>
        <v/>
      </c>
      <c r="J13" s="15">
        <f>IF(I13=0,"",0.6745*(B13-H13)/I13)</f>
        <v/>
      </c>
      <c r="K13" s="13">
        <f>0.2*B13+0.8*K12</f>
        <v/>
      </c>
      <c r="L13" s="13">
        <f>C13+3*D13*SQRT(0.2/(2-0.2))</f>
        <v/>
      </c>
      <c r="M13" s="13">
        <f>C13-3*D13*SQRT(0.2/(2-0.2))</f>
        <v/>
      </c>
      <c r="N13" s="13">
        <f>MAX(0,N12+(B13-C13-0.5*D13))</f>
        <v/>
      </c>
      <c r="O13" s="13">
        <f>MIN(0,O12+(B13-C13+0.5*D13))</f>
        <v/>
      </c>
      <c r="P13">
        <f>IF(ABS(G13)&gt;1,P12+1,0)</f>
        <v/>
      </c>
      <c r="Q13">
        <f>IFS(OR(ABS(G13)&gt;3,N13&gt;5*D13,ABS(O13)&gt;5*D13,P13&gt;=5),"CRITICAL",OR(ABS(G13)&gt;2,P13&gt;=3,ABS(J13)&gt;3.5),"EARLY WARNING",ABS(G13)&gt;1,"WATCH",TRUE,"NORMAL")</f>
        <v/>
      </c>
    </row>
    <row r="14">
      <c r="A14" s="12" t="n">
        <v>45039</v>
      </c>
      <c r="B14" s="13">
        <f>Raw_Data!B14</f>
        <v/>
      </c>
      <c r="C14" s="13">
        <f>AVERAGE(B2:B14)</f>
        <v/>
      </c>
      <c r="D14" s="13">
        <f>STDEV.S(B2:B14)</f>
        <v/>
      </c>
      <c r="E14" s="13">
        <f>C14+3*D14</f>
        <v/>
      </c>
      <c r="F14" s="13">
        <f>C14-3*D14</f>
        <v/>
      </c>
      <c r="G14" s="15">
        <f>IF(D14=0,"",(B14-C14)/D14)</f>
        <v/>
      </c>
      <c r="H14" s="13">
        <f>MEDIAN(B2:B14)</f>
        <v/>
      </c>
      <c r="I14" s="13">
        <f>MEDIAN(ABS(B2:B14-H14))</f>
        <v/>
      </c>
      <c r="J14" s="15">
        <f>IF(I14=0,"",0.6745*(B14-H14)/I14)</f>
        <v/>
      </c>
      <c r="K14" s="13">
        <f>0.2*B14+0.8*K13</f>
        <v/>
      </c>
      <c r="L14" s="13">
        <f>C14+3*D14*SQRT(0.2/(2-0.2))</f>
        <v/>
      </c>
      <c r="M14" s="13">
        <f>C14-3*D14*SQRT(0.2/(2-0.2))</f>
        <v/>
      </c>
      <c r="N14" s="13">
        <f>MAX(0,N13+(B14-C14-0.5*D14))</f>
        <v/>
      </c>
      <c r="O14" s="13">
        <f>MIN(0,O13+(B14-C14+0.5*D14))</f>
        <v/>
      </c>
      <c r="P14">
        <f>IF(ABS(G14)&gt;1,P13+1,0)</f>
        <v/>
      </c>
      <c r="Q14">
        <f>IFS(OR(ABS(G14)&gt;3,N14&gt;5*D14,ABS(O14)&gt;5*D14,P14&gt;=5),"CRITICAL",OR(ABS(G14)&gt;2,P14&gt;=3,ABS(J14)&gt;3.5),"EARLY WARNING",ABS(G14)&gt;1,"WATCH",TRUE,"NORMAL")</f>
        <v/>
      </c>
    </row>
    <row r="15">
      <c r="A15" s="12" t="n">
        <v>45040</v>
      </c>
      <c r="B15" s="13">
        <f>Raw_Data!B15</f>
        <v/>
      </c>
      <c r="C15" s="13">
        <f>AVERAGE(B2:B15)</f>
        <v/>
      </c>
      <c r="D15" s="13">
        <f>STDEV.S(B2:B15)</f>
        <v/>
      </c>
      <c r="E15" s="13">
        <f>C15+3*D15</f>
        <v/>
      </c>
      <c r="F15" s="13">
        <f>C15-3*D15</f>
        <v/>
      </c>
      <c r="G15" s="15">
        <f>IF(D15=0,"",(B15-C15)/D15)</f>
        <v/>
      </c>
      <c r="H15" s="13">
        <f>MEDIAN(B2:B15)</f>
        <v/>
      </c>
      <c r="I15" s="13">
        <f>MEDIAN(ABS(B2:B15-H15))</f>
        <v/>
      </c>
      <c r="J15" s="15">
        <f>IF(I15=0,"",0.6745*(B15-H15)/I15)</f>
        <v/>
      </c>
      <c r="K15" s="13">
        <f>0.2*B15+0.8*K14</f>
        <v/>
      </c>
      <c r="L15" s="13">
        <f>C15+3*D15*SQRT(0.2/(2-0.2))</f>
        <v/>
      </c>
      <c r="M15" s="13">
        <f>C15-3*D15*SQRT(0.2/(2-0.2))</f>
        <v/>
      </c>
      <c r="N15" s="13">
        <f>MAX(0,N14+(B15-C15-0.5*D15))</f>
        <v/>
      </c>
      <c r="O15" s="13">
        <f>MIN(0,O14+(B15-C15+0.5*D15))</f>
        <v/>
      </c>
      <c r="P15">
        <f>IF(ABS(G15)&gt;1,P14+1,0)</f>
        <v/>
      </c>
      <c r="Q15">
        <f>IFS(OR(ABS(G15)&gt;3,N15&gt;5*D15,ABS(O15)&gt;5*D15,P15&gt;=5),"CRITICAL",OR(ABS(G15)&gt;2,P15&gt;=3,ABS(J15)&gt;3.5),"EARLY WARNING",ABS(G15)&gt;1,"WATCH",TRUE,"NORMAL")</f>
        <v/>
      </c>
    </row>
    <row r="16">
      <c r="A16" s="12" t="n">
        <v>45041</v>
      </c>
      <c r="B16" s="13">
        <f>Raw_Data!B16</f>
        <v/>
      </c>
      <c r="C16" s="13">
        <f>AVERAGE(B2:B16)</f>
        <v/>
      </c>
      <c r="D16" s="13">
        <f>STDEV.S(B2:B16)</f>
        <v/>
      </c>
      <c r="E16" s="13">
        <f>C16+3*D16</f>
        <v/>
      </c>
      <c r="F16" s="13">
        <f>C16-3*D16</f>
        <v/>
      </c>
      <c r="G16" s="15">
        <f>IF(D16=0,"",(B16-C16)/D16)</f>
        <v/>
      </c>
      <c r="H16" s="13">
        <f>MEDIAN(B2:B16)</f>
        <v/>
      </c>
      <c r="I16" s="13">
        <f>MEDIAN(ABS(B2:B16-H16))</f>
        <v/>
      </c>
      <c r="J16" s="15">
        <f>IF(I16=0,"",0.6745*(B16-H16)/I16)</f>
        <v/>
      </c>
      <c r="K16" s="13">
        <f>0.2*B16+0.8*K15</f>
        <v/>
      </c>
      <c r="L16" s="13">
        <f>C16+3*D16*SQRT(0.2/(2-0.2))</f>
        <v/>
      </c>
      <c r="M16" s="13">
        <f>C16-3*D16*SQRT(0.2/(2-0.2))</f>
        <v/>
      </c>
      <c r="N16" s="13">
        <f>MAX(0,N15+(B16-C16-0.5*D16))</f>
        <v/>
      </c>
      <c r="O16" s="13">
        <f>MIN(0,O15+(B16-C16+0.5*D16))</f>
        <v/>
      </c>
      <c r="P16">
        <f>IF(ABS(G16)&gt;1,P15+1,0)</f>
        <v/>
      </c>
      <c r="Q16">
        <f>IFS(OR(ABS(G16)&gt;3,N16&gt;5*D16,ABS(O16)&gt;5*D16,P16&gt;=5),"CRITICAL",OR(ABS(G16)&gt;2,P16&gt;=3,ABS(J16)&gt;3.5),"EARLY WARNING",ABS(G16)&gt;1,"WATCH",TRUE,"NORMAL")</f>
        <v/>
      </c>
    </row>
    <row r="17">
      <c r="A17" s="12" t="n">
        <v>45042</v>
      </c>
      <c r="B17" s="13">
        <f>Raw_Data!B17</f>
        <v/>
      </c>
      <c r="C17" s="13">
        <f>AVERAGE(B2:B17)</f>
        <v/>
      </c>
      <c r="D17" s="13">
        <f>STDEV.S(B2:B17)</f>
        <v/>
      </c>
      <c r="E17" s="13">
        <f>C17+3*D17</f>
        <v/>
      </c>
      <c r="F17" s="13">
        <f>C17-3*D17</f>
        <v/>
      </c>
      <c r="G17" s="15">
        <f>IF(D17=0,"",(B17-C17)/D17)</f>
        <v/>
      </c>
      <c r="H17" s="13">
        <f>MEDIAN(B2:B17)</f>
        <v/>
      </c>
      <c r="I17" s="13">
        <f>MEDIAN(ABS(B2:B17-H17))</f>
        <v/>
      </c>
      <c r="J17" s="15">
        <f>IF(I17=0,"",0.6745*(B17-H17)/I17)</f>
        <v/>
      </c>
      <c r="K17" s="13">
        <f>0.2*B17+0.8*K16</f>
        <v/>
      </c>
      <c r="L17" s="13">
        <f>C17+3*D17*SQRT(0.2/(2-0.2))</f>
        <v/>
      </c>
      <c r="M17" s="13">
        <f>C17-3*D17*SQRT(0.2/(2-0.2))</f>
        <v/>
      </c>
      <c r="N17" s="13">
        <f>MAX(0,N16+(B17-C17-0.5*D17))</f>
        <v/>
      </c>
      <c r="O17" s="13">
        <f>MIN(0,O16+(B17-C17+0.5*D17))</f>
        <v/>
      </c>
      <c r="P17">
        <f>IF(ABS(G17)&gt;1,P16+1,0)</f>
        <v/>
      </c>
      <c r="Q17">
        <f>IFS(OR(ABS(G17)&gt;3,N17&gt;5*D17,ABS(O17)&gt;5*D17,P17&gt;=5),"CRITICAL",OR(ABS(G17)&gt;2,P17&gt;=3,ABS(J17)&gt;3.5),"EARLY WARNING",ABS(G17)&gt;1,"WATCH",TRUE,"NORMAL")</f>
        <v/>
      </c>
    </row>
    <row r="18">
      <c r="A18" s="12" t="n">
        <v>45043</v>
      </c>
      <c r="B18" s="13">
        <f>Raw_Data!B18</f>
        <v/>
      </c>
      <c r="C18" s="13">
        <f>AVERAGE(B2:B18)</f>
        <v/>
      </c>
      <c r="D18" s="13">
        <f>STDEV.S(B2:B18)</f>
        <v/>
      </c>
      <c r="E18" s="13">
        <f>C18+3*D18</f>
        <v/>
      </c>
      <c r="F18" s="13">
        <f>C18-3*D18</f>
        <v/>
      </c>
      <c r="G18" s="15">
        <f>IF(D18=0,"",(B18-C18)/D18)</f>
        <v/>
      </c>
      <c r="H18" s="13">
        <f>MEDIAN(B2:B18)</f>
        <v/>
      </c>
      <c r="I18" s="13">
        <f>MEDIAN(ABS(B2:B18-H18))</f>
        <v/>
      </c>
      <c r="J18" s="15">
        <f>IF(I18=0,"",0.6745*(B18-H18)/I18)</f>
        <v/>
      </c>
      <c r="K18" s="13">
        <f>0.2*B18+0.8*K17</f>
        <v/>
      </c>
      <c r="L18" s="13">
        <f>C18+3*D18*SQRT(0.2/(2-0.2))</f>
        <v/>
      </c>
      <c r="M18" s="13">
        <f>C18-3*D18*SQRT(0.2/(2-0.2))</f>
        <v/>
      </c>
      <c r="N18" s="13">
        <f>MAX(0,N17+(B18-C18-0.5*D18))</f>
        <v/>
      </c>
      <c r="O18" s="13">
        <f>MIN(0,O17+(B18-C18+0.5*D18))</f>
        <v/>
      </c>
      <c r="P18">
        <f>IF(ABS(G18)&gt;1,P17+1,0)</f>
        <v/>
      </c>
      <c r="Q18">
        <f>IFS(OR(ABS(G18)&gt;3,N18&gt;5*D18,ABS(O18)&gt;5*D18,P18&gt;=5),"CRITICAL",OR(ABS(G18)&gt;2,P18&gt;=3,ABS(J18)&gt;3.5),"EARLY WARNING",ABS(G18)&gt;1,"WATCH",TRUE,"NORMAL")</f>
        <v/>
      </c>
    </row>
    <row r="19">
      <c r="A19" s="12" t="n">
        <v>45044</v>
      </c>
      <c r="B19" s="13">
        <f>Raw_Data!B19</f>
        <v/>
      </c>
      <c r="C19" s="13">
        <f>AVERAGE(B2:B19)</f>
        <v/>
      </c>
      <c r="D19" s="13">
        <f>STDEV.S(B2:B19)</f>
        <v/>
      </c>
      <c r="E19" s="13">
        <f>C19+3*D19</f>
        <v/>
      </c>
      <c r="F19" s="13">
        <f>C19-3*D19</f>
        <v/>
      </c>
      <c r="G19" s="15">
        <f>IF(D19=0,"",(B19-C19)/D19)</f>
        <v/>
      </c>
      <c r="H19" s="13">
        <f>MEDIAN(B2:B19)</f>
        <v/>
      </c>
      <c r="I19" s="13">
        <f>MEDIAN(ABS(B2:B19-H19))</f>
        <v/>
      </c>
      <c r="J19" s="15">
        <f>IF(I19=0,"",0.6745*(B19-H19)/I19)</f>
        <v/>
      </c>
      <c r="K19" s="13">
        <f>0.2*B19+0.8*K18</f>
        <v/>
      </c>
      <c r="L19" s="13">
        <f>C19+3*D19*SQRT(0.2/(2-0.2))</f>
        <v/>
      </c>
      <c r="M19" s="13">
        <f>C19-3*D19*SQRT(0.2/(2-0.2))</f>
        <v/>
      </c>
      <c r="N19" s="13">
        <f>MAX(0,N18+(B19-C19-0.5*D19))</f>
        <v/>
      </c>
      <c r="O19" s="13">
        <f>MIN(0,O18+(B19-C19+0.5*D19))</f>
        <v/>
      </c>
      <c r="P19">
        <f>IF(ABS(G19)&gt;1,P18+1,0)</f>
        <v/>
      </c>
      <c r="Q19">
        <f>IFS(OR(ABS(G19)&gt;3,N19&gt;5*D19,ABS(O19)&gt;5*D19,P19&gt;=5),"CRITICAL",OR(ABS(G19)&gt;2,P19&gt;=3,ABS(J19)&gt;3.5),"EARLY WARNING",ABS(G19)&gt;1,"WATCH",TRUE,"NORMAL")</f>
        <v/>
      </c>
    </row>
    <row r="20">
      <c r="A20" s="12" t="n">
        <v>45045</v>
      </c>
      <c r="B20" s="13">
        <f>Raw_Data!B20</f>
        <v/>
      </c>
      <c r="C20" s="13">
        <f>AVERAGE(B2:B20)</f>
        <v/>
      </c>
      <c r="D20" s="13">
        <f>STDEV.S(B2:B20)</f>
        <v/>
      </c>
      <c r="E20" s="13">
        <f>C20+3*D20</f>
        <v/>
      </c>
      <c r="F20" s="13">
        <f>C20-3*D20</f>
        <v/>
      </c>
      <c r="G20" s="15">
        <f>IF(D20=0,"",(B20-C20)/D20)</f>
        <v/>
      </c>
      <c r="H20" s="13">
        <f>MEDIAN(B2:B20)</f>
        <v/>
      </c>
      <c r="I20" s="13">
        <f>MEDIAN(ABS(B2:B20-H20))</f>
        <v/>
      </c>
      <c r="J20" s="15">
        <f>IF(I20=0,"",0.6745*(B20-H20)/I20)</f>
        <v/>
      </c>
      <c r="K20" s="13">
        <f>0.2*B20+0.8*K19</f>
        <v/>
      </c>
      <c r="L20" s="13">
        <f>C20+3*D20*SQRT(0.2/(2-0.2))</f>
        <v/>
      </c>
      <c r="M20" s="13">
        <f>C20-3*D20*SQRT(0.2/(2-0.2))</f>
        <v/>
      </c>
      <c r="N20" s="13">
        <f>MAX(0,N19+(B20-C20-0.5*D20))</f>
        <v/>
      </c>
      <c r="O20" s="13">
        <f>MIN(0,O19+(B20-C20+0.5*D20))</f>
        <v/>
      </c>
      <c r="P20">
        <f>IF(ABS(G20)&gt;1,P19+1,0)</f>
        <v/>
      </c>
      <c r="Q20">
        <f>IFS(OR(ABS(G20)&gt;3,N20&gt;5*D20,ABS(O20)&gt;5*D20,P20&gt;=5),"CRITICAL",OR(ABS(G20)&gt;2,P20&gt;=3,ABS(J20)&gt;3.5),"EARLY WARNING",ABS(G20)&gt;1,"WATCH",TRUE,"NORMAL")</f>
        <v/>
      </c>
    </row>
    <row r="21">
      <c r="A21" s="12" t="n">
        <v>45046</v>
      </c>
      <c r="B21" s="13">
        <f>Raw_Data!B21</f>
        <v/>
      </c>
      <c r="C21" s="13">
        <f>AVERAGE(B2:B21)</f>
        <v/>
      </c>
      <c r="D21" s="13">
        <f>STDEV.S(B2:B21)</f>
        <v/>
      </c>
      <c r="E21" s="13">
        <f>C21+3*D21</f>
        <v/>
      </c>
      <c r="F21" s="13">
        <f>C21-3*D21</f>
        <v/>
      </c>
      <c r="G21" s="15">
        <f>IF(D21=0,"",(B21-C21)/D21)</f>
        <v/>
      </c>
      <c r="H21" s="13">
        <f>MEDIAN(B2:B21)</f>
        <v/>
      </c>
      <c r="I21" s="13">
        <f>MEDIAN(ABS(B2:B21-H21))</f>
        <v/>
      </c>
      <c r="J21" s="15">
        <f>IF(I21=0,"",0.6745*(B21-H21)/I21)</f>
        <v/>
      </c>
      <c r="K21" s="13">
        <f>0.2*B21+0.8*K20</f>
        <v/>
      </c>
      <c r="L21" s="13">
        <f>C21+3*D21*SQRT(0.2/(2-0.2))</f>
        <v/>
      </c>
      <c r="M21" s="13">
        <f>C21-3*D21*SQRT(0.2/(2-0.2))</f>
        <v/>
      </c>
      <c r="N21" s="13">
        <f>MAX(0,N20+(B21-C21-0.5*D21))</f>
        <v/>
      </c>
      <c r="O21" s="13">
        <f>MIN(0,O20+(B21-C21+0.5*D21))</f>
        <v/>
      </c>
      <c r="P21">
        <f>IF(ABS(G21)&gt;1,P20+1,0)</f>
        <v/>
      </c>
      <c r="Q21">
        <f>IFS(OR(ABS(G21)&gt;3,N21&gt;5*D21,ABS(O21)&gt;5*D21,P21&gt;=5),"CRITICAL",OR(ABS(G21)&gt;2,P21&gt;=3,ABS(J21)&gt;3.5),"EARLY WARNING",ABS(G21)&gt;1,"WATCH",TRUE,"NORMAL")</f>
        <v/>
      </c>
    </row>
    <row r="22">
      <c r="A22" s="12" t="n">
        <v>45047</v>
      </c>
      <c r="B22" s="13">
        <f>Raw_Data!B22</f>
        <v/>
      </c>
      <c r="C22" s="13">
        <f>AVERAGE(B2:B22)</f>
        <v/>
      </c>
      <c r="D22" s="13">
        <f>STDEV.S(B2:B22)</f>
        <v/>
      </c>
      <c r="E22" s="13">
        <f>C22+3*D22</f>
        <v/>
      </c>
      <c r="F22" s="13">
        <f>C22-3*D22</f>
        <v/>
      </c>
      <c r="G22" s="15">
        <f>IF(D22=0,"",(B22-C22)/D22)</f>
        <v/>
      </c>
      <c r="H22" s="13">
        <f>MEDIAN(B2:B22)</f>
        <v/>
      </c>
      <c r="I22" s="13">
        <f>MEDIAN(ABS(B2:B22-H22))</f>
        <v/>
      </c>
      <c r="J22" s="15">
        <f>IF(I22=0,"",0.6745*(B22-H22)/I22)</f>
        <v/>
      </c>
      <c r="K22" s="13">
        <f>0.2*B22+0.8*K21</f>
        <v/>
      </c>
      <c r="L22" s="13">
        <f>C22+3*D22*SQRT(0.2/(2-0.2))</f>
        <v/>
      </c>
      <c r="M22" s="13">
        <f>C22-3*D22*SQRT(0.2/(2-0.2))</f>
        <v/>
      </c>
      <c r="N22" s="13">
        <f>MAX(0,N21+(B22-C22-0.5*D22))</f>
        <v/>
      </c>
      <c r="O22" s="13">
        <f>MIN(0,O21+(B22-C22+0.5*D22))</f>
        <v/>
      </c>
      <c r="P22">
        <f>IF(ABS(G22)&gt;1,P21+1,0)</f>
        <v/>
      </c>
      <c r="Q22">
        <f>IFS(OR(ABS(G22)&gt;3,N22&gt;5*D22,ABS(O22)&gt;5*D22,P22&gt;=5),"CRITICAL",OR(ABS(G22)&gt;2,P22&gt;=3,ABS(J22)&gt;3.5),"EARLY WARNING",ABS(G22)&gt;1,"WATCH",TRUE,"NORMAL")</f>
        <v/>
      </c>
    </row>
    <row r="23">
      <c r="A23" s="12" t="n">
        <v>45048</v>
      </c>
      <c r="B23" s="13">
        <f>Raw_Data!B23</f>
        <v/>
      </c>
      <c r="C23" s="13">
        <f>AVERAGE(B2:B23)</f>
        <v/>
      </c>
      <c r="D23" s="13">
        <f>STDEV.S(B2:B23)</f>
        <v/>
      </c>
      <c r="E23" s="13">
        <f>C23+3*D23</f>
        <v/>
      </c>
      <c r="F23" s="13">
        <f>C23-3*D23</f>
        <v/>
      </c>
      <c r="G23" s="15">
        <f>IF(D23=0,"",(B23-C23)/D23)</f>
        <v/>
      </c>
      <c r="H23" s="13">
        <f>MEDIAN(B2:B23)</f>
        <v/>
      </c>
      <c r="I23" s="13">
        <f>MEDIAN(ABS(B2:B23-H23))</f>
        <v/>
      </c>
      <c r="J23" s="15">
        <f>IF(I23=0,"",0.6745*(B23-H23)/I23)</f>
        <v/>
      </c>
      <c r="K23" s="13">
        <f>0.2*B23+0.8*K22</f>
        <v/>
      </c>
      <c r="L23" s="13">
        <f>C23+3*D23*SQRT(0.2/(2-0.2))</f>
        <v/>
      </c>
      <c r="M23" s="13">
        <f>C23-3*D23*SQRT(0.2/(2-0.2))</f>
        <v/>
      </c>
      <c r="N23" s="13">
        <f>MAX(0,N22+(B23-C23-0.5*D23))</f>
        <v/>
      </c>
      <c r="O23" s="13">
        <f>MIN(0,O22+(B23-C23+0.5*D23))</f>
        <v/>
      </c>
      <c r="P23">
        <f>IF(ABS(G23)&gt;1,P22+1,0)</f>
        <v/>
      </c>
      <c r="Q23">
        <f>IFS(OR(ABS(G23)&gt;3,N23&gt;5*D23,ABS(O23)&gt;5*D23,P23&gt;=5),"CRITICAL",OR(ABS(G23)&gt;2,P23&gt;=3,ABS(J23)&gt;3.5),"EARLY WARNING",ABS(G23)&gt;1,"WATCH",TRUE,"NORMAL")</f>
        <v/>
      </c>
    </row>
    <row r="24">
      <c r="A24" s="12" t="n">
        <v>45049</v>
      </c>
      <c r="B24" s="13">
        <f>Raw_Data!B24</f>
        <v/>
      </c>
      <c r="C24" s="13">
        <f>AVERAGE(B2:B24)</f>
        <v/>
      </c>
      <c r="D24" s="13">
        <f>STDEV.S(B2:B24)</f>
        <v/>
      </c>
      <c r="E24" s="13">
        <f>C24+3*D24</f>
        <v/>
      </c>
      <c r="F24" s="13">
        <f>C24-3*D24</f>
        <v/>
      </c>
      <c r="G24" s="15">
        <f>IF(D24=0,"",(B24-C24)/D24)</f>
        <v/>
      </c>
      <c r="H24" s="13">
        <f>MEDIAN(B2:B24)</f>
        <v/>
      </c>
      <c r="I24" s="13">
        <f>MEDIAN(ABS(B2:B24-H24))</f>
        <v/>
      </c>
      <c r="J24" s="15">
        <f>IF(I24=0,"",0.6745*(B24-H24)/I24)</f>
        <v/>
      </c>
      <c r="K24" s="13">
        <f>0.2*B24+0.8*K23</f>
        <v/>
      </c>
      <c r="L24" s="13">
        <f>C24+3*D24*SQRT(0.2/(2-0.2))</f>
        <v/>
      </c>
      <c r="M24" s="13">
        <f>C24-3*D24*SQRT(0.2/(2-0.2))</f>
        <v/>
      </c>
      <c r="N24" s="13">
        <f>MAX(0,N23+(B24-C24-0.5*D24))</f>
        <v/>
      </c>
      <c r="O24" s="13">
        <f>MIN(0,O23+(B24-C24+0.5*D24))</f>
        <v/>
      </c>
      <c r="P24">
        <f>IF(ABS(G24)&gt;1,P23+1,0)</f>
        <v/>
      </c>
      <c r="Q24">
        <f>IFS(OR(ABS(G24)&gt;3,N24&gt;5*D24,ABS(O24)&gt;5*D24,P24&gt;=5),"CRITICAL",OR(ABS(G24)&gt;2,P24&gt;=3,ABS(J24)&gt;3.5),"EARLY WARNING",ABS(G24)&gt;1,"WATCH",TRUE,"NORMAL")</f>
        <v/>
      </c>
    </row>
    <row r="25">
      <c r="A25" s="12" t="n">
        <v>45050</v>
      </c>
      <c r="B25" s="13">
        <f>Raw_Data!B25</f>
        <v/>
      </c>
      <c r="C25" s="13">
        <f>AVERAGE(B2:B25)</f>
        <v/>
      </c>
      <c r="D25" s="13">
        <f>STDEV.S(B2:B25)</f>
        <v/>
      </c>
      <c r="E25" s="13">
        <f>C25+3*D25</f>
        <v/>
      </c>
      <c r="F25" s="13">
        <f>C25-3*D25</f>
        <v/>
      </c>
      <c r="G25" s="15">
        <f>IF(D25=0,"",(B25-C25)/D25)</f>
        <v/>
      </c>
      <c r="H25" s="13">
        <f>MEDIAN(B2:B25)</f>
        <v/>
      </c>
      <c r="I25" s="13">
        <f>MEDIAN(ABS(B2:B25-H25))</f>
        <v/>
      </c>
      <c r="J25" s="15">
        <f>IF(I25=0,"",0.6745*(B25-H25)/I25)</f>
        <v/>
      </c>
      <c r="K25" s="13">
        <f>0.2*B25+0.8*K24</f>
        <v/>
      </c>
      <c r="L25" s="13">
        <f>C25+3*D25*SQRT(0.2/(2-0.2))</f>
        <v/>
      </c>
      <c r="M25" s="13">
        <f>C25-3*D25*SQRT(0.2/(2-0.2))</f>
        <v/>
      </c>
      <c r="N25" s="13">
        <f>MAX(0,N24+(B25-C25-0.5*D25))</f>
        <v/>
      </c>
      <c r="O25" s="13">
        <f>MIN(0,O24+(B25-C25+0.5*D25))</f>
        <v/>
      </c>
      <c r="P25">
        <f>IF(ABS(G25)&gt;1,P24+1,0)</f>
        <v/>
      </c>
      <c r="Q25">
        <f>IFS(OR(ABS(G25)&gt;3,N25&gt;5*D25,ABS(O25)&gt;5*D25,P25&gt;=5),"CRITICAL",OR(ABS(G25)&gt;2,P25&gt;=3,ABS(J25)&gt;3.5),"EARLY WARNING",ABS(G25)&gt;1,"WATCH",TRUE,"NORMAL")</f>
        <v/>
      </c>
    </row>
    <row r="26">
      <c r="A26" s="12" t="n">
        <v>45051</v>
      </c>
      <c r="B26" s="13">
        <f>Raw_Data!B26</f>
        <v/>
      </c>
      <c r="C26" s="13">
        <f>AVERAGE(B2:B26)</f>
        <v/>
      </c>
      <c r="D26" s="13">
        <f>STDEV.S(B2:B26)</f>
        <v/>
      </c>
      <c r="E26" s="13">
        <f>C26+3*D26</f>
        <v/>
      </c>
      <c r="F26" s="13">
        <f>C26-3*D26</f>
        <v/>
      </c>
      <c r="G26" s="15">
        <f>IF(D26=0,"",(B26-C26)/D26)</f>
        <v/>
      </c>
      <c r="H26" s="13">
        <f>MEDIAN(B2:B26)</f>
        <v/>
      </c>
      <c r="I26" s="13">
        <f>MEDIAN(ABS(B2:B26-H26))</f>
        <v/>
      </c>
      <c r="J26" s="15">
        <f>IF(I26=0,"",0.6745*(B26-H26)/I26)</f>
        <v/>
      </c>
      <c r="K26" s="13">
        <f>0.2*B26+0.8*K25</f>
        <v/>
      </c>
      <c r="L26" s="13">
        <f>C26+3*D26*SQRT(0.2/(2-0.2))</f>
        <v/>
      </c>
      <c r="M26" s="13">
        <f>C26-3*D26*SQRT(0.2/(2-0.2))</f>
        <v/>
      </c>
      <c r="N26" s="13">
        <f>MAX(0,N25+(B26-C26-0.5*D26))</f>
        <v/>
      </c>
      <c r="O26" s="13">
        <f>MIN(0,O25+(B26-C26+0.5*D26))</f>
        <v/>
      </c>
      <c r="P26">
        <f>IF(ABS(G26)&gt;1,P25+1,0)</f>
        <v/>
      </c>
      <c r="Q26">
        <f>IFS(OR(ABS(G26)&gt;3,N26&gt;5*D26,ABS(O26)&gt;5*D26,P26&gt;=5),"CRITICAL",OR(ABS(G26)&gt;2,P26&gt;=3,ABS(J26)&gt;3.5),"EARLY WARNING",ABS(G26)&gt;1,"WATCH",TRUE,"NORMAL")</f>
        <v/>
      </c>
    </row>
    <row r="27">
      <c r="A27" s="12" t="n">
        <v>45052</v>
      </c>
      <c r="B27" s="13">
        <f>Raw_Data!B27</f>
        <v/>
      </c>
      <c r="C27" s="13">
        <f>AVERAGE(B2:B27)</f>
        <v/>
      </c>
      <c r="D27" s="13">
        <f>STDEV.S(B2:B27)</f>
        <v/>
      </c>
      <c r="E27" s="13">
        <f>C27+3*D27</f>
        <v/>
      </c>
      <c r="F27" s="13">
        <f>C27-3*D27</f>
        <v/>
      </c>
      <c r="G27" s="15">
        <f>IF(D27=0,"",(B27-C27)/D27)</f>
        <v/>
      </c>
      <c r="H27" s="13">
        <f>MEDIAN(B2:B27)</f>
        <v/>
      </c>
      <c r="I27" s="13">
        <f>MEDIAN(ABS(B2:B27-H27))</f>
        <v/>
      </c>
      <c r="J27" s="15">
        <f>IF(I27=0,"",0.6745*(B27-H27)/I27)</f>
        <v/>
      </c>
      <c r="K27" s="13">
        <f>0.2*B27+0.8*K26</f>
        <v/>
      </c>
      <c r="L27" s="13">
        <f>C27+3*D27*SQRT(0.2/(2-0.2))</f>
        <v/>
      </c>
      <c r="M27" s="13">
        <f>C27-3*D27*SQRT(0.2/(2-0.2))</f>
        <v/>
      </c>
      <c r="N27" s="13">
        <f>MAX(0,N26+(B27-C27-0.5*D27))</f>
        <v/>
      </c>
      <c r="O27" s="13">
        <f>MIN(0,O26+(B27-C27+0.5*D27))</f>
        <v/>
      </c>
      <c r="P27">
        <f>IF(ABS(G27)&gt;1,P26+1,0)</f>
        <v/>
      </c>
      <c r="Q27">
        <f>IFS(OR(ABS(G27)&gt;3,N27&gt;5*D27,ABS(O27)&gt;5*D27,P27&gt;=5),"CRITICAL",OR(ABS(G27)&gt;2,P27&gt;=3,ABS(J27)&gt;3.5),"EARLY WARNING",ABS(G27)&gt;1,"WATCH",TRUE,"NORMAL")</f>
        <v/>
      </c>
    </row>
    <row r="28">
      <c r="A28" s="12" t="n">
        <v>45053</v>
      </c>
      <c r="B28" s="13">
        <f>Raw_Data!B28</f>
        <v/>
      </c>
      <c r="C28" s="13">
        <f>AVERAGE(B2:B28)</f>
        <v/>
      </c>
      <c r="D28" s="13">
        <f>STDEV.S(B2:B28)</f>
        <v/>
      </c>
      <c r="E28" s="13">
        <f>C28+3*D28</f>
        <v/>
      </c>
      <c r="F28" s="13">
        <f>C28-3*D28</f>
        <v/>
      </c>
      <c r="G28" s="15">
        <f>IF(D28=0,"",(B28-C28)/D28)</f>
        <v/>
      </c>
      <c r="H28" s="13">
        <f>MEDIAN(B2:B28)</f>
        <v/>
      </c>
      <c r="I28" s="13">
        <f>MEDIAN(ABS(B2:B28-H28))</f>
        <v/>
      </c>
      <c r="J28" s="15">
        <f>IF(I28=0,"",0.6745*(B28-H28)/I28)</f>
        <v/>
      </c>
      <c r="K28" s="13">
        <f>0.2*B28+0.8*K27</f>
        <v/>
      </c>
      <c r="L28" s="13">
        <f>C28+3*D28*SQRT(0.2/(2-0.2))</f>
        <v/>
      </c>
      <c r="M28" s="13">
        <f>C28-3*D28*SQRT(0.2/(2-0.2))</f>
        <v/>
      </c>
      <c r="N28" s="13">
        <f>MAX(0,N27+(B28-C28-0.5*D28))</f>
        <v/>
      </c>
      <c r="O28" s="13">
        <f>MIN(0,O27+(B28-C28+0.5*D28))</f>
        <v/>
      </c>
      <c r="P28">
        <f>IF(ABS(G28)&gt;1,P27+1,0)</f>
        <v/>
      </c>
      <c r="Q28">
        <f>IFS(OR(ABS(G28)&gt;3,N28&gt;5*D28,ABS(O28)&gt;5*D28,P28&gt;=5),"CRITICAL",OR(ABS(G28)&gt;2,P28&gt;=3,ABS(J28)&gt;3.5),"EARLY WARNING",ABS(G28)&gt;1,"WATCH",TRUE,"NORMAL")</f>
        <v/>
      </c>
    </row>
    <row r="29">
      <c r="A29" s="12" t="n">
        <v>45054</v>
      </c>
      <c r="B29" s="13">
        <f>Raw_Data!B29</f>
        <v/>
      </c>
      <c r="C29" s="13">
        <f>AVERAGE(B2:B29)</f>
        <v/>
      </c>
      <c r="D29" s="13">
        <f>STDEV.S(B2:B29)</f>
        <v/>
      </c>
      <c r="E29" s="13">
        <f>C29+3*D29</f>
        <v/>
      </c>
      <c r="F29" s="13">
        <f>C29-3*D29</f>
        <v/>
      </c>
      <c r="G29" s="15">
        <f>IF(D29=0,"",(B29-C29)/D29)</f>
        <v/>
      </c>
      <c r="H29" s="13">
        <f>MEDIAN(B2:B29)</f>
        <v/>
      </c>
      <c r="I29" s="13">
        <f>MEDIAN(ABS(B2:B29-H29))</f>
        <v/>
      </c>
      <c r="J29" s="15">
        <f>IF(I29=0,"",0.6745*(B29-H29)/I29)</f>
        <v/>
      </c>
      <c r="K29" s="13">
        <f>0.2*B29+0.8*K28</f>
        <v/>
      </c>
      <c r="L29" s="13">
        <f>C29+3*D29*SQRT(0.2/(2-0.2))</f>
        <v/>
      </c>
      <c r="M29" s="13">
        <f>C29-3*D29*SQRT(0.2/(2-0.2))</f>
        <v/>
      </c>
      <c r="N29" s="13">
        <f>MAX(0,N28+(B29-C29-0.5*D29))</f>
        <v/>
      </c>
      <c r="O29" s="13">
        <f>MIN(0,O28+(B29-C29+0.5*D29))</f>
        <v/>
      </c>
      <c r="P29">
        <f>IF(ABS(G29)&gt;1,P28+1,0)</f>
        <v/>
      </c>
      <c r="Q29">
        <f>IFS(OR(ABS(G29)&gt;3,N29&gt;5*D29,ABS(O29)&gt;5*D29,P29&gt;=5),"CRITICAL",OR(ABS(G29)&gt;2,P29&gt;=3,ABS(J29)&gt;3.5),"EARLY WARNING",ABS(G29)&gt;1,"WATCH",TRUE,"NORMAL")</f>
        <v/>
      </c>
    </row>
    <row r="30">
      <c r="A30" s="12" t="n">
        <v>45055</v>
      </c>
      <c r="B30" s="13">
        <f>Raw_Data!B30</f>
        <v/>
      </c>
      <c r="C30" s="13">
        <f>AVERAGE(B2:B30)</f>
        <v/>
      </c>
      <c r="D30" s="13">
        <f>STDEV.S(B2:B30)</f>
        <v/>
      </c>
      <c r="E30" s="13">
        <f>C30+3*D30</f>
        <v/>
      </c>
      <c r="F30" s="13">
        <f>C30-3*D30</f>
        <v/>
      </c>
      <c r="G30" s="15">
        <f>IF(D30=0,"",(B30-C30)/D30)</f>
        <v/>
      </c>
      <c r="H30" s="13">
        <f>MEDIAN(B2:B30)</f>
        <v/>
      </c>
      <c r="I30" s="13">
        <f>MEDIAN(ABS(B2:B30-H30))</f>
        <v/>
      </c>
      <c r="J30" s="15">
        <f>IF(I30=0,"",0.6745*(B30-H30)/I30)</f>
        <v/>
      </c>
      <c r="K30" s="13">
        <f>0.2*B30+0.8*K29</f>
        <v/>
      </c>
      <c r="L30" s="13">
        <f>C30+3*D30*SQRT(0.2/(2-0.2))</f>
        <v/>
      </c>
      <c r="M30" s="13">
        <f>C30-3*D30*SQRT(0.2/(2-0.2))</f>
        <v/>
      </c>
      <c r="N30" s="13">
        <f>MAX(0,N29+(B30-C30-0.5*D30))</f>
        <v/>
      </c>
      <c r="O30" s="13">
        <f>MIN(0,O29+(B30-C30+0.5*D30))</f>
        <v/>
      </c>
      <c r="P30">
        <f>IF(ABS(G30)&gt;1,P29+1,0)</f>
        <v/>
      </c>
      <c r="Q30">
        <f>IFS(OR(ABS(G30)&gt;3,N30&gt;5*D30,ABS(O30)&gt;5*D30,P30&gt;=5),"CRITICAL",OR(ABS(G30)&gt;2,P30&gt;=3,ABS(J30)&gt;3.5),"EARLY WARNING",ABS(G30)&gt;1,"WATCH",TRUE,"NORMAL")</f>
        <v/>
      </c>
    </row>
    <row r="31">
      <c r="A31" s="12" t="n">
        <v>45056</v>
      </c>
      <c r="B31" s="13">
        <f>Raw_Data!B31</f>
        <v/>
      </c>
      <c r="C31" s="13">
        <f>AVERAGE(B2:B31)</f>
        <v/>
      </c>
      <c r="D31" s="13">
        <f>STDEV.S(B2:B31)</f>
        <v/>
      </c>
      <c r="E31" s="13">
        <f>C31+3*D31</f>
        <v/>
      </c>
      <c r="F31" s="13">
        <f>C31-3*D31</f>
        <v/>
      </c>
      <c r="G31" s="15">
        <f>IF(D31=0,"",(B31-C31)/D31)</f>
        <v/>
      </c>
      <c r="H31" s="13">
        <f>MEDIAN(B2:B31)</f>
        <v/>
      </c>
      <c r="I31" s="13">
        <f>MEDIAN(ABS(B2:B31-H31))</f>
        <v/>
      </c>
      <c r="J31" s="15">
        <f>IF(I31=0,"",0.6745*(B31-H31)/I31)</f>
        <v/>
      </c>
      <c r="K31" s="13">
        <f>0.2*B31+0.8*K30</f>
        <v/>
      </c>
      <c r="L31" s="13">
        <f>C31+3*D31*SQRT(0.2/(2-0.2))</f>
        <v/>
      </c>
      <c r="M31" s="13">
        <f>C31-3*D31*SQRT(0.2/(2-0.2))</f>
        <v/>
      </c>
      <c r="N31" s="13">
        <f>MAX(0,N30+(B31-C31-0.5*D31))</f>
        <v/>
      </c>
      <c r="O31" s="13">
        <f>MIN(0,O30+(B31-C31+0.5*D31))</f>
        <v/>
      </c>
      <c r="P31">
        <f>IF(ABS(G31)&gt;1,P30+1,0)</f>
        <v/>
      </c>
      <c r="Q31">
        <f>IFS(OR(ABS(G31)&gt;3,N31&gt;5*D31,ABS(O31)&gt;5*D31,P31&gt;=5),"CRITICAL",OR(ABS(G31)&gt;2,P31&gt;=3,ABS(J31)&gt;3.5),"EARLY WARNING",ABS(G31)&gt;1,"WATCH",TRUE,"NORMAL")</f>
        <v/>
      </c>
    </row>
    <row r="32">
      <c r="A32" s="12" t="n">
        <v>45057</v>
      </c>
      <c r="B32" s="13">
        <f>Raw_Data!B32</f>
        <v/>
      </c>
      <c r="C32" s="13">
        <f>AVERAGE(B3:B32)</f>
        <v/>
      </c>
      <c r="D32" s="13">
        <f>STDEV.S(B3:B32)</f>
        <v/>
      </c>
      <c r="E32" s="13">
        <f>C32+3*D32</f>
        <v/>
      </c>
      <c r="F32" s="13">
        <f>C32-3*D32</f>
        <v/>
      </c>
      <c r="G32" s="15">
        <f>IF(D32=0,"",(B32-C32)/D32)</f>
        <v/>
      </c>
      <c r="H32" s="13">
        <f>MEDIAN(B3:B32)</f>
        <v/>
      </c>
      <c r="I32" s="13">
        <f>MEDIAN(ABS(B3:B32-H32))</f>
        <v/>
      </c>
      <c r="J32" s="15">
        <f>IF(I32=0,"",0.6745*(B32-H32)/I32)</f>
        <v/>
      </c>
      <c r="K32" s="13">
        <f>0.2*B32+0.8*K31</f>
        <v/>
      </c>
      <c r="L32" s="13">
        <f>C32+3*D32*SQRT(0.2/(2-0.2))</f>
        <v/>
      </c>
      <c r="M32" s="13">
        <f>C32-3*D32*SQRT(0.2/(2-0.2))</f>
        <v/>
      </c>
      <c r="N32" s="13">
        <f>MAX(0,N31+(B32-C32-0.5*D32))</f>
        <v/>
      </c>
      <c r="O32" s="13">
        <f>MIN(0,O31+(B32-C32+0.5*D32))</f>
        <v/>
      </c>
      <c r="P32">
        <f>IF(ABS(G32)&gt;1,P31+1,0)</f>
        <v/>
      </c>
      <c r="Q32">
        <f>IFS(OR(ABS(G32)&gt;3,N32&gt;5*D32,ABS(O32)&gt;5*D32,P32&gt;=5),"CRITICAL",OR(ABS(G32)&gt;2,P32&gt;=3,ABS(J32)&gt;3.5),"EARLY WARNING",ABS(G32)&gt;1,"WATCH",TRUE,"NORMAL")</f>
        <v/>
      </c>
    </row>
    <row r="33">
      <c r="A33" s="12" t="n">
        <v>45058</v>
      </c>
      <c r="B33" s="13">
        <f>Raw_Data!B33</f>
        <v/>
      </c>
      <c r="C33" s="13">
        <f>AVERAGE(B4:B33)</f>
        <v/>
      </c>
      <c r="D33" s="13">
        <f>STDEV.S(B4:B33)</f>
        <v/>
      </c>
      <c r="E33" s="13">
        <f>C33+3*D33</f>
        <v/>
      </c>
      <c r="F33" s="13">
        <f>C33-3*D33</f>
        <v/>
      </c>
      <c r="G33" s="15">
        <f>IF(D33=0,"",(B33-C33)/D33)</f>
        <v/>
      </c>
      <c r="H33" s="13">
        <f>MEDIAN(B4:B33)</f>
        <v/>
      </c>
      <c r="I33" s="13">
        <f>MEDIAN(ABS(B4:B33-H33))</f>
        <v/>
      </c>
      <c r="J33" s="15">
        <f>IF(I33=0,"",0.6745*(B33-H33)/I33)</f>
        <v/>
      </c>
      <c r="K33" s="13">
        <f>0.2*B33+0.8*K32</f>
        <v/>
      </c>
      <c r="L33" s="13">
        <f>C33+3*D33*SQRT(0.2/(2-0.2))</f>
        <v/>
      </c>
      <c r="M33" s="13">
        <f>C33-3*D33*SQRT(0.2/(2-0.2))</f>
        <v/>
      </c>
      <c r="N33" s="13">
        <f>MAX(0,N32+(B33-C33-0.5*D33))</f>
        <v/>
      </c>
      <c r="O33" s="13">
        <f>MIN(0,O32+(B33-C33+0.5*D33))</f>
        <v/>
      </c>
      <c r="P33">
        <f>IF(ABS(G33)&gt;1,P32+1,0)</f>
        <v/>
      </c>
      <c r="Q33">
        <f>IFS(OR(ABS(G33)&gt;3,N33&gt;5*D33,ABS(O33)&gt;5*D33,P33&gt;=5),"CRITICAL",OR(ABS(G33)&gt;2,P33&gt;=3,ABS(J33)&gt;3.5),"EARLY WARNING",ABS(G33)&gt;1,"WATCH",TRUE,"NORMAL")</f>
        <v/>
      </c>
    </row>
    <row r="34">
      <c r="A34" s="12" t="n">
        <v>45059</v>
      </c>
      <c r="B34" s="13">
        <f>Raw_Data!B34</f>
        <v/>
      </c>
      <c r="C34" s="13">
        <f>AVERAGE(B5:B34)</f>
        <v/>
      </c>
      <c r="D34" s="13">
        <f>STDEV.S(B5:B34)</f>
        <v/>
      </c>
      <c r="E34" s="13">
        <f>C34+3*D34</f>
        <v/>
      </c>
      <c r="F34" s="13">
        <f>C34-3*D34</f>
        <v/>
      </c>
      <c r="G34" s="15">
        <f>IF(D34=0,"",(B34-C34)/D34)</f>
        <v/>
      </c>
      <c r="H34" s="13">
        <f>MEDIAN(B5:B34)</f>
        <v/>
      </c>
      <c r="I34" s="13">
        <f>MEDIAN(ABS(B5:B34-H34))</f>
        <v/>
      </c>
      <c r="J34" s="15">
        <f>IF(I34=0,"",0.6745*(B34-H34)/I34)</f>
        <v/>
      </c>
      <c r="K34" s="13">
        <f>0.2*B34+0.8*K33</f>
        <v/>
      </c>
      <c r="L34" s="13">
        <f>C34+3*D34*SQRT(0.2/(2-0.2))</f>
        <v/>
      </c>
      <c r="M34" s="13">
        <f>C34-3*D34*SQRT(0.2/(2-0.2))</f>
        <v/>
      </c>
      <c r="N34" s="13">
        <f>MAX(0,N33+(B34-C34-0.5*D34))</f>
        <v/>
      </c>
      <c r="O34" s="13">
        <f>MIN(0,O33+(B34-C34+0.5*D34))</f>
        <v/>
      </c>
      <c r="P34">
        <f>IF(ABS(G34)&gt;1,P33+1,0)</f>
        <v/>
      </c>
      <c r="Q34">
        <f>IFS(OR(ABS(G34)&gt;3,N34&gt;5*D34,ABS(O34)&gt;5*D34,P34&gt;=5),"CRITICAL",OR(ABS(G34)&gt;2,P34&gt;=3,ABS(J34)&gt;3.5),"EARLY WARNING",ABS(G34)&gt;1,"WATCH",TRUE,"NORMAL")</f>
        <v/>
      </c>
    </row>
    <row r="35">
      <c r="A35" s="12" t="n">
        <v>45060</v>
      </c>
      <c r="B35" s="13">
        <f>Raw_Data!B35</f>
        <v/>
      </c>
      <c r="C35" s="13">
        <f>AVERAGE(B6:B35)</f>
        <v/>
      </c>
      <c r="D35" s="13">
        <f>STDEV.S(B6:B35)</f>
        <v/>
      </c>
      <c r="E35" s="13">
        <f>C35+3*D35</f>
        <v/>
      </c>
      <c r="F35" s="13">
        <f>C35-3*D35</f>
        <v/>
      </c>
      <c r="G35" s="15">
        <f>IF(D35=0,"",(B35-C35)/D35)</f>
        <v/>
      </c>
      <c r="H35" s="13">
        <f>MEDIAN(B6:B35)</f>
        <v/>
      </c>
      <c r="I35" s="13">
        <f>MEDIAN(ABS(B6:B35-H35))</f>
        <v/>
      </c>
      <c r="J35" s="15">
        <f>IF(I35=0,"",0.6745*(B35-H35)/I35)</f>
        <v/>
      </c>
      <c r="K35" s="13">
        <f>0.2*B35+0.8*K34</f>
        <v/>
      </c>
      <c r="L35" s="13">
        <f>C35+3*D35*SQRT(0.2/(2-0.2))</f>
        <v/>
      </c>
      <c r="M35" s="13">
        <f>C35-3*D35*SQRT(0.2/(2-0.2))</f>
        <v/>
      </c>
      <c r="N35" s="13">
        <f>MAX(0,N34+(B35-C35-0.5*D35))</f>
        <v/>
      </c>
      <c r="O35" s="13">
        <f>MIN(0,O34+(B35-C35+0.5*D35))</f>
        <v/>
      </c>
      <c r="P35">
        <f>IF(ABS(G35)&gt;1,P34+1,0)</f>
        <v/>
      </c>
      <c r="Q35">
        <f>IFS(OR(ABS(G35)&gt;3,N35&gt;5*D35,ABS(O35)&gt;5*D35,P35&gt;=5),"CRITICAL",OR(ABS(G35)&gt;2,P35&gt;=3,ABS(J35)&gt;3.5),"EARLY WARNING",ABS(G35)&gt;1,"WATCH",TRUE,"NORMAL")</f>
        <v/>
      </c>
    </row>
    <row r="36">
      <c r="A36" s="12" t="n">
        <v>45061</v>
      </c>
      <c r="B36" s="13">
        <f>Raw_Data!B36</f>
        <v/>
      </c>
      <c r="C36" s="13">
        <f>AVERAGE(B7:B36)</f>
        <v/>
      </c>
      <c r="D36" s="13">
        <f>STDEV.S(B7:B36)</f>
        <v/>
      </c>
      <c r="E36" s="13">
        <f>C36+3*D36</f>
        <v/>
      </c>
      <c r="F36" s="13">
        <f>C36-3*D36</f>
        <v/>
      </c>
      <c r="G36" s="15">
        <f>IF(D36=0,"",(B36-C36)/D36)</f>
        <v/>
      </c>
      <c r="H36" s="13">
        <f>MEDIAN(B7:B36)</f>
        <v/>
      </c>
      <c r="I36" s="13">
        <f>MEDIAN(ABS(B7:B36-H36))</f>
        <v/>
      </c>
      <c r="J36" s="15">
        <f>IF(I36=0,"",0.6745*(B36-H36)/I36)</f>
        <v/>
      </c>
      <c r="K36" s="13">
        <f>0.2*B36+0.8*K35</f>
        <v/>
      </c>
      <c r="L36" s="13">
        <f>C36+3*D36*SQRT(0.2/(2-0.2))</f>
        <v/>
      </c>
      <c r="M36" s="13">
        <f>C36-3*D36*SQRT(0.2/(2-0.2))</f>
        <v/>
      </c>
      <c r="N36" s="13">
        <f>MAX(0,N35+(B36-C36-0.5*D36))</f>
        <v/>
      </c>
      <c r="O36" s="13">
        <f>MIN(0,O35+(B36-C36+0.5*D36))</f>
        <v/>
      </c>
      <c r="P36">
        <f>IF(ABS(G36)&gt;1,P35+1,0)</f>
        <v/>
      </c>
      <c r="Q36">
        <f>IFS(OR(ABS(G36)&gt;3,N36&gt;5*D36,ABS(O36)&gt;5*D36,P36&gt;=5),"CRITICAL",OR(ABS(G36)&gt;2,P36&gt;=3,ABS(J36)&gt;3.5),"EARLY WARNING",ABS(G36)&gt;1,"WATCH",TRUE,"NORMAL")</f>
        <v/>
      </c>
    </row>
    <row r="37">
      <c r="A37" s="12" t="n">
        <v>45062</v>
      </c>
      <c r="B37" s="13">
        <f>Raw_Data!B37</f>
        <v/>
      </c>
      <c r="C37" s="13">
        <f>AVERAGE(B8:B37)</f>
        <v/>
      </c>
      <c r="D37" s="13">
        <f>STDEV.S(B8:B37)</f>
        <v/>
      </c>
      <c r="E37" s="13">
        <f>C37+3*D37</f>
        <v/>
      </c>
      <c r="F37" s="13">
        <f>C37-3*D37</f>
        <v/>
      </c>
      <c r="G37" s="15">
        <f>IF(D37=0,"",(B37-C37)/D37)</f>
        <v/>
      </c>
      <c r="H37" s="13">
        <f>MEDIAN(B8:B37)</f>
        <v/>
      </c>
      <c r="I37" s="13">
        <f>MEDIAN(ABS(B8:B37-H37))</f>
        <v/>
      </c>
      <c r="J37" s="15">
        <f>IF(I37=0,"",0.6745*(B37-H37)/I37)</f>
        <v/>
      </c>
      <c r="K37" s="13">
        <f>0.2*B37+0.8*K36</f>
        <v/>
      </c>
      <c r="L37" s="13">
        <f>C37+3*D37*SQRT(0.2/(2-0.2))</f>
        <v/>
      </c>
      <c r="M37" s="13">
        <f>C37-3*D37*SQRT(0.2/(2-0.2))</f>
        <v/>
      </c>
      <c r="N37" s="13">
        <f>MAX(0,N36+(B37-C37-0.5*D37))</f>
        <v/>
      </c>
      <c r="O37" s="13">
        <f>MIN(0,O36+(B37-C37+0.5*D37))</f>
        <v/>
      </c>
      <c r="P37">
        <f>IF(ABS(G37)&gt;1,P36+1,0)</f>
        <v/>
      </c>
      <c r="Q37">
        <f>IFS(OR(ABS(G37)&gt;3,N37&gt;5*D37,ABS(O37)&gt;5*D37,P37&gt;=5),"CRITICAL",OR(ABS(G37)&gt;2,P37&gt;=3,ABS(J37)&gt;3.5),"EARLY WARNING",ABS(G37)&gt;1,"WATCH",TRUE,"NORMAL")</f>
        <v/>
      </c>
    </row>
    <row r="38">
      <c r="A38" s="12" t="n">
        <v>45063</v>
      </c>
      <c r="B38" s="13">
        <f>Raw_Data!B38</f>
        <v/>
      </c>
      <c r="C38" s="13">
        <f>AVERAGE(B9:B38)</f>
        <v/>
      </c>
      <c r="D38" s="13">
        <f>STDEV.S(B9:B38)</f>
        <v/>
      </c>
      <c r="E38" s="13">
        <f>C38+3*D38</f>
        <v/>
      </c>
      <c r="F38" s="13">
        <f>C38-3*D38</f>
        <v/>
      </c>
      <c r="G38" s="15">
        <f>IF(D38=0,"",(B38-C38)/D38)</f>
        <v/>
      </c>
      <c r="H38" s="13">
        <f>MEDIAN(B9:B38)</f>
        <v/>
      </c>
      <c r="I38" s="13">
        <f>MEDIAN(ABS(B9:B38-H38))</f>
        <v/>
      </c>
      <c r="J38" s="15">
        <f>IF(I38=0,"",0.6745*(B38-H38)/I38)</f>
        <v/>
      </c>
      <c r="K38" s="13">
        <f>0.2*B38+0.8*K37</f>
        <v/>
      </c>
      <c r="L38" s="13">
        <f>C38+3*D38*SQRT(0.2/(2-0.2))</f>
        <v/>
      </c>
      <c r="M38" s="13">
        <f>C38-3*D38*SQRT(0.2/(2-0.2))</f>
        <v/>
      </c>
      <c r="N38" s="13">
        <f>MAX(0,N37+(B38-C38-0.5*D38))</f>
        <v/>
      </c>
      <c r="O38" s="13">
        <f>MIN(0,O37+(B38-C38+0.5*D38))</f>
        <v/>
      </c>
      <c r="P38">
        <f>IF(ABS(G38)&gt;1,P37+1,0)</f>
        <v/>
      </c>
      <c r="Q38">
        <f>IFS(OR(ABS(G38)&gt;3,N38&gt;5*D38,ABS(O38)&gt;5*D38,P38&gt;=5),"CRITICAL",OR(ABS(G38)&gt;2,P38&gt;=3,ABS(J38)&gt;3.5),"EARLY WARNING",ABS(G38)&gt;1,"WATCH",TRUE,"NORMAL")</f>
        <v/>
      </c>
    </row>
    <row r="39">
      <c r="A39" s="12" t="n">
        <v>45064</v>
      </c>
      <c r="B39" s="13">
        <f>Raw_Data!B39</f>
        <v/>
      </c>
      <c r="C39" s="13">
        <f>AVERAGE(B10:B39)</f>
        <v/>
      </c>
      <c r="D39" s="13">
        <f>STDEV.S(B10:B39)</f>
        <v/>
      </c>
      <c r="E39" s="13">
        <f>C39+3*D39</f>
        <v/>
      </c>
      <c r="F39" s="13">
        <f>C39-3*D39</f>
        <v/>
      </c>
      <c r="G39" s="15">
        <f>IF(D39=0,"",(B39-C39)/D39)</f>
        <v/>
      </c>
      <c r="H39" s="13">
        <f>MEDIAN(B10:B39)</f>
        <v/>
      </c>
      <c r="I39" s="13">
        <f>MEDIAN(ABS(B10:B39-H39))</f>
        <v/>
      </c>
      <c r="J39" s="15">
        <f>IF(I39=0,"",0.6745*(B39-H39)/I39)</f>
        <v/>
      </c>
      <c r="K39" s="13">
        <f>0.2*B39+0.8*K38</f>
        <v/>
      </c>
      <c r="L39" s="13">
        <f>C39+3*D39*SQRT(0.2/(2-0.2))</f>
        <v/>
      </c>
      <c r="M39" s="13">
        <f>C39-3*D39*SQRT(0.2/(2-0.2))</f>
        <v/>
      </c>
      <c r="N39" s="13">
        <f>MAX(0,N38+(B39-C39-0.5*D39))</f>
        <v/>
      </c>
      <c r="O39" s="13">
        <f>MIN(0,O38+(B39-C39+0.5*D39))</f>
        <v/>
      </c>
      <c r="P39">
        <f>IF(ABS(G39)&gt;1,P38+1,0)</f>
        <v/>
      </c>
      <c r="Q39">
        <f>IFS(OR(ABS(G39)&gt;3,N39&gt;5*D39,ABS(O39)&gt;5*D39,P39&gt;=5),"CRITICAL",OR(ABS(G39)&gt;2,P39&gt;=3,ABS(J39)&gt;3.5),"EARLY WARNING",ABS(G39)&gt;1,"WATCH",TRUE,"NORMAL")</f>
        <v/>
      </c>
    </row>
    <row r="40">
      <c r="A40" s="12" t="n">
        <v>45065</v>
      </c>
      <c r="B40" s="13">
        <f>Raw_Data!B40</f>
        <v/>
      </c>
      <c r="C40" s="13">
        <f>AVERAGE(B11:B40)</f>
        <v/>
      </c>
      <c r="D40" s="13">
        <f>STDEV.S(B11:B40)</f>
        <v/>
      </c>
      <c r="E40" s="13">
        <f>C40+3*D40</f>
        <v/>
      </c>
      <c r="F40" s="13">
        <f>C40-3*D40</f>
        <v/>
      </c>
      <c r="G40" s="15">
        <f>IF(D40=0,"",(B40-C40)/D40)</f>
        <v/>
      </c>
      <c r="H40" s="13">
        <f>MEDIAN(B11:B40)</f>
        <v/>
      </c>
      <c r="I40" s="13">
        <f>MEDIAN(ABS(B11:B40-H40))</f>
        <v/>
      </c>
      <c r="J40" s="15">
        <f>IF(I40=0,"",0.6745*(B40-H40)/I40)</f>
        <v/>
      </c>
      <c r="K40" s="13">
        <f>0.2*B40+0.8*K39</f>
        <v/>
      </c>
      <c r="L40" s="13">
        <f>C40+3*D40*SQRT(0.2/(2-0.2))</f>
        <v/>
      </c>
      <c r="M40" s="13">
        <f>C40-3*D40*SQRT(0.2/(2-0.2))</f>
        <v/>
      </c>
      <c r="N40" s="13">
        <f>MAX(0,N39+(B40-C40-0.5*D40))</f>
        <v/>
      </c>
      <c r="O40" s="13">
        <f>MIN(0,O39+(B40-C40+0.5*D40))</f>
        <v/>
      </c>
      <c r="P40">
        <f>IF(ABS(G40)&gt;1,P39+1,0)</f>
        <v/>
      </c>
      <c r="Q40">
        <f>IFS(OR(ABS(G40)&gt;3,N40&gt;5*D40,ABS(O40)&gt;5*D40,P40&gt;=5),"CRITICAL",OR(ABS(G40)&gt;2,P40&gt;=3,ABS(J40)&gt;3.5),"EARLY WARNING",ABS(G40)&gt;1,"WATCH",TRUE,"NORMAL")</f>
        <v/>
      </c>
    </row>
    <row r="41">
      <c r="A41" s="12" t="n">
        <v>45066</v>
      </c>
      <c r="B41" s="13">
        <f>Raw_Data!B41</f>
        <v/>
      </c>
      <c r="C41" s="13">
        <f>AVERAGE(B12:B41)</f>
        <v/>
      </c>
      <c r="D41" s="13">
        <f>STDEV.S(B12:B41)</f>
        <v/>
      </c>
      <c r="E41" s="13">
        <f>C41+3*D41</f>
        <v/>
      </c>
      <c r="F41" s="13">
        <f>C41-3*D41</f>
        <v/>
      </c>
      <c r="G41" s="15">
        <f>IF(D41=0,"",(B41-C41)/D41)</f>
        <v/>
      </c>
      <c r="H41" s="13">
        <f>MEDIAN(B12:B41)</f>
        <v/>
      </c>
      <c r="I41" s="13">
        <f>MEDIAN(ABS(B12:B41-H41))</f>
        <v/>
      </c>
      <c r="J41" s="15">
        <f>IF(I41=0,"",0.6745*(B41-H41)/I41)</f>
        <v/>
      </c>
      <c r="K41" s="13">
        <f>0.2*B41+0.8*K40</f>
        <v/>
      </c>
      <c r="L41" s="13">
        <f>C41+3*D41*SQRT(0.2/(2-0.2))</f>
        <v/>
      </c>
      <c r="M41" s="13">
        <f>C41-3*D41*SQRT(0.2/(2-0.2))</f>
        <v/>
      </c>
      <c r="N41" s="13">
        <f>MAX(0,N40+(B41-C41-0.5*D41))</f>
        <v/>
      </c>
      <c r="O41" s="13">
        <f>MIN(0,O40+(B41-C41+0.5*D41))</f>
        <v/>
      </c>
      <c r="P41">
        <f>IF(ABS(G41)&gt;1,P40+1,0)</f>
        <v/>
      </c>
      <c r="Q41">
        <f>IFS(OR(ABS(G41)&gt;3,N41&gt;5*D41,ABS(O41)&gt;5*D41,P41&gt;=5),"CRITICAL",OR(ABS(G41)&gt;2,P41&gt;=3,ABS(J41)&gt;3.5),"EARLY WARNING",ABS(G41)&gt;1,"WATCH",TRUE,"NORMAL")</f>
        <v/>
      </c>
    </row>
    <row r="42">
      <c r="A42" s="12" t="n">
        <v>45067</v>
      </c>
      <c r="B42" s="13">
        <f>Raw_Data!B42</f>
        <v/>
      </c>
      <c r="C42" s="13">
        <f>AVERAGE(B13:B42)</f>
        <v/>
      </c>
      <c r="D42" s="13">
        <f>STDEV.S(B13:B42)</f>
        <v/>
      </c>
      <c r="E42" s="13">
        <f>C42+3*D42</f>
        <v/>
      </c>
      <c r="F42" s="13">
        <f>C42-3*D42</f>
        <v/>
      </c>
      <c r="G42" s="15">
        <f>IF(D42=0,"",(B42-C42)/D42)</f>
        <v/>
      </c>
      <c r="H42" s="13">
        <f>MEDIAN(B13:B42)</f>
        <v/>
      </c>
      <c r="I42" s="13">
        <f>MEDIAN(ABS(B13:B42-H42))</f>
        <v/>
      </c>
      <c r="J42" s="15">
        <f>IF(I42=0,"",0.6745*(B42-H42)/I42)</f>
        <v/>
      </c>
      <c r="K42" s="13">
        <f>0.2*B42+0.8*K41</f>
        <v/>
      </c>
      <c r="L42" s="13">
        <f>C42+3*D42*SQRT(0.2/(2-0.2))</f>
        <v/>
      </c>
      <c r="M42" s="13">
        <f>C42-3*D42*SQRT(0.2/(2-0.2))</f>
        <v/>
      </c>
      <c r="N42" s="13">
        <f>MAX(0,N41+(B42-C42-0.5*D42))</f>
        <v/>
      </c>
      <c r="O42" s="13">
        <f>MIN(0,O41+(B42-C42+0.5*D42))</f>
        <v/>
      </c>
      <c r="P42">
        <f>IF(ABS(G42)&gt;1,P41+1,0)</f>
        <v/>
      </c>
      <c r="Q42">
        <f>IFS(OR(ABS(G42)&gt;3,N42&gt;5*D42,ABS(O42)&gt;5*D42,P42&gt;=5),"CRITICAL",OR(ABS(G42)&gt;2,P42&gt;=3,ABS(J42)&gt;3.5),"EARLY WARNING",ABS(G42)&gt;1,"WATCH",TRUE,"NORMAL")</f>
        <v/>
      </c>
    </row>
    <row r="43">
      <c r="A43" s="12" t="n">
        <v>45068</v>
      </c>
      <c r="B43" s="13">
        <f>Raw_Data!B43</f>
        <v/>
      </c>
      <c r="C43" s="13">
        <f>AVERAGE(B14:B43)</f>
        <v/>
      </c>
      <c r="D43" s="13">
        <f>STDEV.S(B14:B43)</f>
        <v/>
      </c>
      <c r="E43" s="13">
        <f>C43+3*D43</f>
        <v/>
      </c>
      <c r="F43" s="13">
        <f>C43-3*D43</f>
        <v/>
      </c>
      <c r="G43" s="15">
        <f>IF(D43=0,"",(B43-C43)/D43)</f>
        <v/>
      </c>
      <c r="H43" s="13">
        <f>MEDIAN(B14:B43)</f>
        <v/>
      </c>
      <c r="I43" s="13">
        <f>MEDIAN(ABS(B14:B43-H43))</f>
        <v/>
      </c>
      <c r="J43" s="15">
        <f>IF(I43=0,"",0.6745*(B43-H43)/I43)</f>
        <v/>
      </c>
      <c r="K43" s="13">
        <f>0.2*B43+0.8*K42</f>
        <v/>
      </c>
      <c r="L43" s="13">
        <f>C43+3*D43*SQRT(0.2/(2-0.2))</f>
        <v/>
      </c>
      <c r="M43" s="13">
        <f>C43-3*D43*SQRT(0.2/(2-0.2))</f>
        <v/>
      </c>
      <c r="N43" s="13">
        <f>MAX(0,N42+(B43-C43-0.5*D43))</f>
        <v/>
      </c>
      <c r="O43" s="13">
        <f>MIN(0,O42+(B43-C43+0.5*D43))</f>
        <v/>
      </c>
      <c r="P43">
        <f>IF(ABS(G43)&gt;1,P42+1,0)</f>
        <v/>
      </c>
      <c r="Q43">
        <f>IFS(OR(ABS(G43)&gt;3,N43&gt;5*D43,ABS(O43)&gt;5*D43,P43&gt;=5),"CRITICAL",OR(ABS(G43)&gt;2,P43&gt;=3,ABS(J43)&gt;3.5),"EARLY WARNING",ABS(G43)&gt;1,"WATCH",TRUE,"NORMAL")</f>
        <v/>
      </c>
    </row>
    <row r="44">
      <c r="A44" s="12" t="n">
        <v>45069</v>
      </c>
      <c r="B44" s="13">
        <f>Raw_Data!B44</f>
        <v/>
      </c>
      <c r="C44" s="13">
        <f>AVERAGE(B15:B44)</f>
        <v/>
      </c>
      <c r="D44" s="13">
        <f>STDEV.S(B15:B44)</f>
        <v/>
      </c>
      <c r="E44" s="13">
        <f>C44+3*D44</f>
        <v/>
      </c>
      <c r="F44" s="13">
        <f>C44-3*D44</f>
        <v/>
      </c>
      <c r="G44" s="15">
        <f>IF(D44=0,"",(B44-C44)/D44)</f>
        <v/>
      </c>
      <c r="H44" s="13">
        <f>MEDIAN(B15:B44)</f>
        <v/>
      </c>
      <c r="I44" s="13">
        <f>MEDIAN(ABS(B15:B44-H44))</f>
        <v/>
      </c>
      <c r="J44" s="15">
        <f>IF(I44=0,"",0.6745*(B44-H44)/I44)</f>
        <v/>
      </c>
      <c r="K44" s="13">
        <f>0.2*B44+0.8*K43</f>
        <v/>
      </c>
      <c r="L44" s="13">
        <f>C44+3*D44*SQRT(0.2/(2-0.2))</f>
        <v/>
      </c>
      <c r="M44" s="13">
        <f>C44-3*D44*SQRT(0.2/(2-0.2))</f>
        <v/>
      </c>
      <c r="N44" s="13">
        <f>MAX(0,N43+(B44-C44-0.5*D44))</f>
        <v/>
      </c>
      <c r="O44" s="13">
        <f>MIN(0,O43+(B44-C44+0.5*D44))</f>
        <v/>
      </c>
      <c r="P44">
        <f>IF(ABS(G44)&gt;1,P43+1,0)</f>
        <v/>
      </c>
      <c r="Q44">
        <f>IFS(OR(ABS(G44)&gt;3,N44&gt;5*D44,ABS(O44)&gt;5*D44,P44&gt;=5),"CRITICAL",OR(ABS(G44)&gt;2,P44&gt;=3,ABS(J44)&gt;3.5),"EARLY WARNING",ABS(G44)&gt;1,"WATCH",TRUE,"NORMAL")</f>
        <v/>
      </c>
    </row>
    <row r="45">
      <c r="A45" s="12" t="n">
        <v>45070</v>
      </c>
      <c r="B45" s="13">
        <f>Raw_Data!B45</f>
        <v/>
      </c>
      <c r="C45" s="13">
        <f>AVERAGE(B16:B45)</f>
        <v/>
      </c>
      <c r="D45" s="13">
        <f>STDEV.S(B16:B45)</f>
        <v/>
      </c>
      <c r="E45" s="13">
        <f>C45+3*D45</f>
        <v/>
      </c>
      <c r="F45" s="13">
        <f>C45-3*D45</f>
        <v/>
      </c>
      <c r="G45" s="15">
        <f>IF(D45=0,"",(B45-C45)/D45)</f>
        <v/>
      </c>
      <c r="H45" s="13">
        <f>MEDIAN(B16:B45)</f>
        <v/>
      </c>
      <c r="I45" s="13">
        <f>MEDIAN(ABS(B16:B45-H45))</f>
        <v/>
      </c>
      <c r="J45" s="15">
        <f>IF(I45=0,"",0.6745*(B45-H45)/I45)</f>
        <v/>
      </c>
      <c r="K45" s="13">
        <f>0.2*B45+0.8*K44</f>
        <v/>
      </c>
      <c r="L45" s="13">
        <f>C45+3*D45*SQRT(0.2/(2-0.2))</f>
        <v/>
      </c>
      <c r="M45" s="13">
        <f>C45-3*D45*SQRT(0.2/(2-0.2))</f>
        <v/>
      </c>
      <c r="N45" s="13">
        <f>MAX(0,N44+(B45-C45-0.5*D45))</f>
        <v/>
      </c>
      <c r="O45" s="13">
        <f>MIN(0,O44+(B45-C45+0.5*D45))</f>
        <v/>
      </c>
      <c r="P45">
        <f>IF(ABS(G45)&gt;1,P44+1,0)</f>
        <v/>
      </c>
      <c r="Q45">
        <f>IFS(OR(ABS(G45)&gt;3,N45&gt;5*D45,ABS(O45)&gt;5*D45,P45&gt;=5),"CRITICAL",OR(ABS(G45)&gt;2,P45&gt;=3,ABS(J45)&gt;3.5),"EARLY WARNING",ABS(G45)&gt;1,"WATCH",TRUE,"NORMAL")</f>
        <v/>
      </c>
    </row>
    <row r="46">
      <c r="A46" s="12" t="n">
        <v>45071</v>
      </c>
      <c r="B46" s="13">
        <f>Raw_Data!B46</f>
        <v/>
      </c>
      <c r="C46" s="13">
        <f>AVERAGE(B17:B46)</f>
        <v/>
      </c>
      <c r="D46" s="13">
        <f>STDEV.S(B17:B46)</f>
        <v/>
      </c>
      <c r="E46" s="13">
        <f>C46+3*D46</f>
        <v/>
      </c>
      <c r="F46" s="13">
        <f>C46-3*D46</f>
        <v/>
      </c>
      <c r="G46" s="15">
        <f>IF(D46=0,"",(B46-C46)/D46)</f>
        <v/>
      </c>
      <c r="H46" s="13">
        <f>MEDIAN(B17:B46)</f>
        <v/>
      </c>
      <c r="I46" s="13">
        <f>MEDIAN(ABS(B17:B46-H46))</f>
        <v/>
      </c>
      <c r="J46" s="15">
        <f>IF(I46=0,"",0.6745*(B46-H46)/I46)</f>
        <v/>
      </c>
      <c r="K46" s="13">
        <f>0.2*B46+0.8*K45</f>
        <v/>
      </c>
      <c r="L46" s="13">
        <f>C46+3*D46*SQRT(0.2/(2-0.2))</f>
        <v/>
      </c>
      <c r="M46" s="13">
        <f>C46-3*D46*SQRT(0.2/(2-0.2))</f>
        <v/>
      </c>
      <c r="N46" s="13">
        <f>MAX(0,N45+(B46-C46-0.5*D46))</f>
        <v/>
      </c>
      <c r="O46" s="13">
        <f>MIN(0,O45+(B46-C46+0.5*D46))</f>
        <v/>
      </c>
      <c r="P46">
        <f>IF(ABS(G46)&gt;1,P45+1,0)</f>
        <v/>
      </c>
      <c r="Q46">
        <f>IFS(OR(ABS(G46)&gt;3,N46&gt;5*D46,ABS(O46)&gt;5*D46,P46&gt;=5),"CRITICAL",OR(ABS(G46)&gt;2,P46&gt;=3,ABS(J46)&gt;3.5),"EARLY WARNING",ABS(G46)&gt;1,"WATCH",TRUE,"NORMAL")</f>
        <v/>
      </c>
    </row>
    <row r="47">
      <c r="A47" s="12" t="n">
        <v>45072</v>
      </c>
      <c r="B47" s="13">
        <f>Raw_Data!B47</f>
        <v/>
      </c>
      <c r="C47" s="13">
        <f>AVERAGE(B18:B47)</f>
        <v/>
      </c>
      <c r="D47" s="13">
        <f>STDEV.S(B18:B47)</f>
        <v/>
      </c>
      <c r="E47" s="13">
        <f>C47+3*D47</f>
        <v/>
      </c>
      <c r="F47" s="13">
        <f>C47-3*D47</f>
        <v/>
      </c>
      <c r="G47" s="15">
        <f>IF(D47=0,"",(B47-C47)/D47)</f>
        <v/>
      </c>
      <c r="H47" s="13">
        <f>MEDIAN(B18:B47)</f>
        <v/>
      </c>
      <c r="I47" s="13">
        <f>MEDIAN(ABS(B18:B47-H47))</f>
        <v/>
      </c>
      <c r="J47" s="15">
        <f>IF(I47=0,"",0.6745*(B47-H47)/I47)</f>
        <v/>
      </c>
      <c r="K47" s="13">
        <f>0.2*B47+0.8*K46</f>
        <v/>
      </c>
      <c r="L47" s="13">
        <f>C47+3*D47*SQRT(0.2/(2-0.2))</f>
        <v/>
      </c>
      <c r="M47" s="13">
        <f>C47-3*D47*SQRT(0.2/(2-0.2))</f>
        <v/>
      </c>
      <c r="N47" s="13">
        <f>MAX(0,N46+(B47-C47-0.5*D47))</f>
        <v/>
      </c>
      <c r="O47" s="13">
        <f>MIN(0,O46+(B47-C47+0.5*D47))</f>
        <v/>
      </c>
      <c r="P47">
        <f>IF(ABS(G47)&gt;1,P46+1,0)</f>
        <v/>
      </c>
      <c r="Q47">
        <f>IFS(OR(ABS(G47)&gt;3,N47&gt;5*D47,ABS(O47)&gt;5*D47,P47&gt;=5),"CRITICAL",OR(ABS(G47)&gt;2,P47&gt;=3,ABS(J47)&gt;3.5),"EARLY WARNING",ABS(G47)&gt;1,"WATCH",TRUE,"NORMAL")</f>
        <v/>
      </c>
    </row>
    <row r="48">
      <c r="A48" s="12" t="n">
        <v>45073</v>
      </c>
      <c r="B48" s="13">
        <f>Raw_Data!B48</f>
        <v/>
      </c>
      <c r="C48" s="13">
        <f>AVERAGE(B19:B48)</f>
        <v/>
      </c>
      <c r="D48" s="13">
        <f>STDEV.S(B19:B48)</f>
        <v/>
      </c>
      <c r="E48" s="13">
        <f>C48+3*D48</f>
        <v/>
      </c>
      <c r="F48" s="13">
        <f>C48-3*D48</f>
        <v/>
      </c>
      <c r="G48" s="15">
        <f>IF(D48=0,"",(B48-C48)/D48)</f>
        <v/>
      </c>
      <c r="H48" s="13">
        <f>MEDIAN(B19:B48)</f>
        <v/>
      </c>
      <c r="I48" s="13">
        <f>MEDIAN(ABS(B19:B48-H48))</f>
        <v/>
      </c>
      <c r="J48" s="15">
        <f>IF(I48=0,"",0.6745*(B48-H48)/I48)</f>
        <v/>
      </c>
      <c r="K48" s="13">
        <f>0.2*B48+0.8*K47</f>
        <v/>
      </c>
      <c r="L48" s="13">
        <f>C48+3*D48*SQRT(0.2/(2-0.2))</f>
        <v/>
      </c>
      <c r="M48" s="13">
        <f>C48-3*D48*SQRT(0.2/(2-0.2))</f>
        <v/>
      </c>
      <c r="N48" s="13">
        <f>MAX(0,N47+(B48-C48-0.5*D48))</f>
        <v/>
      </c>
      <c r="O48" s="13">
        <f>MIN(0,O47+(B48-C48+0.5*D48))</f>
        <v/>
      </c>
      <c r="P48">
        <f>IF(ABS(G48)&gt;1,P47+1,0)</f>
        <v/>
      </c>
      <c r="Q48">
        <f>IFS(OR(ABS(G48)&gt;3,N48&gt;5*D48,ABS(O48)&gt;5*D48,P48&gt;=5),"CRITICAL",OR(ABS(G48)&gt;2,P48&gt;=3,ABS(J48)&gt;3.5),"EARLY WARNING",ABS(G48)&gt;1,"WATCH",TRUE,"NORMAL")</f>
        <v/>
      </c>
    </row>
    <row r="49">
      <c r="A49" s="12" t="n">
        <v>45074</v>
      </c>
      <c r="B49" s="13">
        <f>Raw_Data!B49</f>
        <v/>
      </c>
      <c r="C49" s="13">
        <f>AVERAGE(B20:B49)</f>
        <v/>
      </c>
      <c r="D49" s="13">
        <f>STDEV.S(B20:B49)</f>
        <v/>
      </c>
      <c r="E49" s="13">
        <f>C49+3*D49</f>
        <v/>
      </c>
      <c r="F49" s="13">
        <f>C49-3*D49</f>
        <v/>
      </c>
      <c r="G49" s="15">
        <f>IF(D49=0,"",(B49-C49)/D49)</f>
        <v/>
      </c>
      <c r="H49" s="13">
        <f>MEDIAN(B20:B49)</f>
        <v/>
      </c>
      <c r="I49" s="13">
        <f>MEDIAN(ABS(B20:B49-H49))</f>
        <v/>
      </c>
      <c r="J49" s="15">
        <f>IF(I49=0,"",0.6745*(B49-H49)/I49)</f>
        <v/>
      </c>
      <c r="K49" s="13">
        <f>0.2*B49+0.8*K48</f>
        <v/>
      </c>
      <c r="L49" s="13">
        <f>C49+3*D49*SQRT(0.2/(2-0.2))</f>
        <v/>
      </c>
      <c r="M49" s="13">
        <f>C49-3*D49*SQRT(0.2/(2-0.2))</f>
        <v/>
      </c>
      <c r="N49" s="13">
        <f>MAX(0,N48+(B49-C49-0.5*D49))</f>
        <v/>
      </c>
      <c r="O49" s="13">
        <f>MIN(0,O48+(B49-C49+0.5*D49))</f>
        <v/>
      </c>
      <c r="P49">
        <f>IF(ABS(G49)&gt;1,P48+1,0)</f>
        <v/>
      </c>
      <c r="Q49">
        <f>IFS(OR(ABS(G49)&gt;3,N49&gt;5*D49,ABS(O49)&gt;5*D49,P49&gt;=5),"CRITICAL",OR(ABS(G49)&gt;2,P49&gt;=3,ABS(J49)&gt;3.5),"EARLY WARNING",ABS(G49)&gt;1,"WATCH",TRUE,"NORMAL")</f>
        <v/>
      </c>
    </row>
    <row r="50">
      <c r="A50" s="12" t="n">
        <v>45075</v>
      </c>
      <c r="B50" s="13">
        <f>Raw_Data!B50</f>
        <v/>
      </c>
      <c r="C50" s="13">
        <f>AVERAGE(B21:B50)</f>
        <v/>
      </c>
      <c r="D50" s="13">
        <f>STDEV.S(B21:B50)</f>
        <v/>
      </c>
      <c r="E50" s="13">
        <f>C50+3*D50</f>
        <v/>
      </c>
      <c r="F50" s="13">
        <f>C50-3*D50</f>
        <v/>
      </c>
      <c r="G50" s="15">
        <f>IF(D50=0,"",(B50-C50)/D50)</f>
        <v/>
      </c>
      <c r="H50" s="13">
        <f>MEDIAN(B21:B50)</f>
        <v/>
      </c>
      <c r="I50" s="13">
        <f>MEDIAN(ABS(B21:B50-H50))</f>
        <v/>
      </c>
      <c r="J50" s="15">
        <f>IF(I50=0,"",0.6745*(B50-H50)/I50)</f>
        <v/>
      </c>
      <c r="K50" s="13">
        <f>0.2*B50+0.8*K49</f>
        <v/>
      </c>
      <c r="L50" s="13">
        <f>C50+3*D50*SQRT(0.2/(2-0.2))</f>
        <v/>
      </c>
      <c r="M50" s="13">
        <f>C50-3*D50*SQRT(0.2/(2-0.2))</f>
        <v/>
      </c>
      <c r="N50" s="13">
        <f>MAX(0,N49+(B50-C50-0.5*D50))</f>
        <v/>
      </c>
      <c r="O50" s="13">
        <f>MIN(0,O49+(B50-C50+0.5*D50))</f>
        <v/>
      </c>
      <c r="P50">
        <f>IF(ABS(G50)&gt;1,P49+1,0)</f>
        <v/>
      </c>
      <c r="Q50">
        <f>IFS(OR(ABS(G50)&gt;3,N50&gt;5*D50,ABS(O50)&gt;5*D50,P50&gt;=5),"CRITICAL",OR(ABS(G50)&gt;2,P50&gt;=3,ABS(J50)&gt;3.5),"EARLY WARNING",ABS(G50)&gt;1,"WATCH",TRUE,"NORMAL")</f>
        <v/>
      </c>
    </row>
    <row r="51">
      <c r="A51" s="12" t="n">
        <v>45076</v>
      </c>
      <c r="B51" s="13">
        <f>Raw_Data!B51</f>
        <v/>
      </c>
      <c r="C51" s="13">
        <f>AVERAGE(B22:B51)</f>
        <v/>
      </c>
      <c r="D51" s="13">
        <f>STDEV.S(B22:B51)</f>
        <v/>
      </c>
      <c r="E51" s="13">
        <f>C51+3*D51</f>
        <v/>
      </c>
      <c r="F51" s="13">
        <f>C51-3*D51</f>
        <v/>
      </c>
      <c r="G51" s="15">
        <f>IF(D51=0,"",(B51-C51)/D51)</f>
        <v/>
      </c>
      <c r="H51" s="13">
        <f>MEDIAN(B22:B51)</f>
        <v/>
      </c>
      <c r="I51" s="13">
        <f>MEDIAN(ABS(B22:B51-H51))</f>
        <v/>
      </c>
      <c r="J51" s="15">
        <f>IF(I51=0,"",0.6745*(B51-H51)/I51)</f>
        <v/>
      </c>
      <c r="K51" s="13">
        <f>0.2*B51+0.8*K50</f>
        <v/>
      </c>
      <c r="L51" s="13">
        <f>C51+3*D51*SQRT(0.2/(2-0.2))</f>
        <v/>
      </c>
      <c r="M51" s="13">
        <f>C51-3*D51*SQRT(0.2/(2-0.2))</f>
        <v/>
      </c>
      <c r="N51" s="13">
        <f>MAX(0,N50+(B51-C51-0.5*D51))</f>
        <v/>
      </c>
      <c r="O51" s="13">
        <f>MIN(0,O50+(B51-C51+0.5*D51))</f>
        <v/>
      </c>
      <c r="P51">
        <f>IF(ABS(G51)&gt;1,P50+1,0)</f>
        <v/>
      </c>
      <c r="Q51">
        <f>IFS(OR(ABS(G51)&gt;3,N51&gt;5*D51,ABS(O51)&gt;5*D51,P51&gt;=5),"CRITICAL",OR(ABS(G51)&gt;2,P51&gt;=3,ABS(J51)&gt;3.5),"EARLY WARNING",ABS(G51)&gt;1,"WATCH",TRUE,"NORMAL")</f>
        <v/>
      </c>
    </row>
    <row r="52">
      <c r="A52" s="12" t="n">
        <v>45077</v>
      </c>
      <c r="B52" s="13">
        <f>Raw_Data!B52</f>
        <v/>
      </c>
      <c r="C52" s="13">
        <f>AVERAGE(B23:B52)</f>
        <v/>
      </c>
      <c r="D52" s="13">
        <f>STDEV.S(B23:B52)</f>
        <v/>
      </c>
      <c r="E52" s="13">
        <f>C52+3*D52</f>
        <v/>
      </c>
      <c r="F52" s="13">
        <f>C52-3*D52</f>
        <v/>
      </c>
      <c r="G52" s="15">
        <f>IF(D52=0,"",(B52-C52)/D52)</f>
        <v/>
      </c>
      <c r="H52" s="13">
        <f>MEDIAN(B23:B52)</f>
        <v/>
      </c>
      <c r="I52" s="13">
        <f>MEDIAN(ABS(B23:B52-H52))</f>
        <v/>
      </c>
      <c r="J52" s="15">
        <f>IF(I52=0,"",0.6745*(B52-H52)/I52)</f>
        <v/>
      </c>
      <c r="K52" s="13">
        <f>0.2*B52+0.8*K51</f>
        <v/>
      </c>
      <c r="L52" s="13">
        <f>C52+3*D52*SQRT(0.2/(2-0.2))</f>
        <v/>
      </c>
      <c r="M52" s="13">
        <f>C52-3*D52*SQRT(0.2/(2-0.2))</f>
        <v/>
      </c>
      <c r="N52" s="13">
        <f>MAX(0,N51+(B52-C52-0.5*D52))</f>
        <v/>
      </c>
      <c r="O52" s="13">
        <f>MIN(0,O51+(B52-C52+0.5*D52))</f>
        <v/>
      </c>
      <c r="P52">
        <f>IF(ABS(G52)&gt;1,P51+1,0)</f>
        <v/>
      </c>
      <c r="Q52">
        <f>IFS(OR(ABS(G52)&gt;3,N52&gt;5*D52,ABS(O52)&gt;5*D52,P52&gt;=5),"CRITICAL",OR(ABS(G52)&gt;2,P52&gt;=3,ABS(J52)&gt;3.5),"EARLY WARNING",ABS(G52)&gt;1,"WATCH",TRUE,"NORMAL")</f>
        <v/>
      </c>
    </row>
    <row r="53">
      <c r="A53" s="12" t="n">
        <v>45078</v>
      </c>
      <c r="B53" s="13">
        <f>Raw_Data!B53</f>
        <v/>
      </c>
      <c r="C53" s="13">
        <f>AVERAGE(B24:B53)</f>
        <v/>
      </c>
      <c r="D53" s="13">
        <f>STDEV.S(B24:B53)</f>
        <v/>
      </c>
      <c r="E53" s="13">
        <f>C53+3*D53</f>
        <v/>
      </c>
      <c r="F53" s="13">
        <f>C53-3*D53</f>
        <v/>
      </c>
      <c r="G53" s="15">
        <f>IF(D53=0,"",(B53-C53)/D53)</f>
        <v/>
      </c>
      <c r="H53" s="13">
        <f>MEDIAN(B24:B53)</f>
        <v/>
      </c>
      <c r="I53" s="13">
        <f>MEDIAN(ABS(B24:B53-H53))</f>
        <v/>
      </c>
      <c r="J53" s="15">
        <f>IF(I53=0,"",0.6745*(B53-H53)/I53)</f>
        <v/>
      </c>
      <c r="K53" s="13">
        <f>0.2*B53+0.8*K52</f>
        <v/>
      </c>
      <c r="L53" s="13">
        <f>C53+3*D53*SQRT(0.2/(2-0.2))</f>
        <v/>
      </c>
      <c r="M53" s="13">
        <f>C53-3*D53*SQRT(0.2/(2-0.2))</f>
        <v/>
      </c>
      <c r="N53" s="13">
        <f>MAX(0,N52+(B53-C53-0.5*D53))</f>
        <v/>
      </c>
      <c r="O53" s="13">
        <f>MIN(0,O52+(B53-C53+0.5*D53))</f>
        <v/>
      </c>
      <c r="P53">
        <f>IF(ABS(G53)&gt;1,P52+1,0)</f>
        <v/>
      </c>
      <c r="Q53">
        <f>IFS(OR(ABS(G53)&gt;3,N53&gt;5*D53,ABS(O53)&gt;5*D53,P53&gt;=5),"CRITICAL",OR(ABS(G53)&gt;2,P53&gt;=3,ABS(J53)&gt;3.5),"EARLY WARNING",ABS(G53)&gt;1,"WATCH",TRUE,"NORMAL")</f>
        <v/>
      </c>
    </row>
    <row r="54">
      <c r="A54" s="12" t="n">
        <v>45079</v>
      </c>
      <c r="B54" s="13">
        <f>Raw_Data!B54</f>
        <v/>
      </c>
      <c r="C54" s="13">
        <f>AVERAGE(B25:B54)</f>
        <v/>
      </c>
      <c r="D54" s="13">
        <f>STDEV.S(B25:B54)</f>
        <v/>
      </c>
      <c r="E54" s="13">
        <f>C54+3*D54</f>
        <v/>
      </c>
      <c r="F54" s="13">
        <f>C54-3*D54</f>
        <v/>
      </c>
      <c r="G54" s="15">
        <f>IF(D54=0,"",(B54-C54)/D54)</f>
        <v/>
      </c>
      <c r="H54" s="13">
        <f>MEDIAN(B25:B54)</f>
        <v/>
      </c>
      <c r="I54" s="13">
        <f>MEDIAN(ABS(B25:B54-H54))</f>
        <v/>
      </c>
      <c r="J54" s="15">
        <f>IF(I54=0,"",0.6745*(B54-H54)/I54)</f>
        <v/>
      </c>
      <c r="K54" s="13">
        <f>0.2*B54+0.8*K53</f>
        <v/>
      </c>
      <c r="L54" s="13">
        <f>C54+3*D54*SQRT(0.2/(2-0.2))</f>
        <v/>
      </c>
      <c r="M54" s="13">
        <f>C54-3*D54*SQRT(0.2/(2-0.2))</f>
        <v/>
      </c>
      <c r="N54" s="13">
        <f>MAX(0,N53+(B54-C54-0.5*D54))</f>
        <v/>
      </c>
      <c r="O54" s="13">
        <f>MIN(0,O53+(B54-C54+0.5*D54))</f>
        <v/>
      </c>
      <c r="P54">
        <f>IF(ABS(G54)&gt;1,P53+1,0)</f>
        <v/>
      </c>
      <c r="Q54">
        <f>IFS(OR(ABS(G54)&gt;3,N54&gt;5*D54,ABS(O54)&gt;5*D54,P54&gt;=5),"CRITICAL",OR(ABS(G54)&gt;2,P54&gt;=3,ABS(J54)&gt;3.5),"EARLY WARNING",ABS(G54)&gt;1,"WATCH",TRUE,"NORMAL")</f>
        <v/>
      </c>
    </row>
    <row r="55">
      <c r="A55" s="12" t="n">
        <v>45080</v>
      </c>
      <c r="B55" s="13">
        <f>Raw_Data!B55</f>
        <v/>
      </c>
      <c r="C55" s="13">
        <f>AVERAGE(B26:B55)</f>
        <v/>
      </c>
      <c r="D55" s="13">
        <f>STDEV.S(B26:B55)</f>
        <v/>
      </c>
      <c r="E55" s="13">
        <f>C55+3*D55</f>
        <v/>
      </c>
      <c r="F55" s="13">
        <f>C55-3*D55</f>
        <v/>
      </c>
      <c r="G55" s="15">
        <f>IF(D55=0,"",(B55-C55)/D55)</f>
        <v/>
      </c>
      <c r="H55" s="13">
        <f>MEDIAN(B26:B55)</f>
        <v/>
      </c>
      <c r="I55" s="13">
        <f>MEDIAN(ABS(B26:B55-H55))</f>
        <v/>
      </c>
      <c r="J55" s="15">
        <f>IF(I55=0,"",0.6745*(B55-H55)/I55)</f>
        <v/>
      </c>
      <c r="K55" s="13">
        <f>0.2*B55+0.8*K54</f>
        <v/>
      </c>
      <c r="L55" s="13">
        <f>C55+3*D55*SQRT(0.2/(2-0.2))</f>
        <v/>
      </c>
      <c r="M55" s="13">
        <f>C55-3*D55*SQRT(0.2/(2-0.2))</f>
        <v/>
      </c>
      <c r="N55" s="13">
        <f>MAX(0,N54+(B55-C55-0.5*D55))</f>
        <v/>
      </c>
      <c r="O55" s="13">
        <f>MIN(0,O54+(B55-C55+0.5*D55))</f>
        <v/>
      </c>
      <c r="P55">
        <f>IF(ABS(G55)&gt;1,P54+1,0)</f>
        <v/>
      </c>
      <c r="Q55">
        <f>IFS(OR(ABS(G55)&gt;3,N55&gt;5*D55,ABS(O55)&gt;5*D55,P55&gt;=5),"CRITICAL",OR(ABS(G55)&gt;2,P55&gt;=3,ABS(J55)&gt;3.5),"EARLY WARNING",ABS(G55)&gt;1,"WATCH",TRUE,"NORMAL")</f>
        <v/>
      </c>
    </row>
    <row r="56">
      <c r="A56" s="12" t="n">
        <v>45081</v>
      </c>
      <c r="B56" s="13">
        <f>Raw_Data!B56</f>
        <v/>
      </c>
      <c r="C56" s="13">
        <f>AVERAGE(B27:B56)</f>
        <v/>
      </c>
      <c r="D56" s="13">
        <f>STDEV.S(B27:B56)</f>
        <v/>
      </c>
      <c r="E56" s="13">
        <f>C56+3*D56</f>
        <v/>
      </c>
      <c r="F56" s="13">
        <f>C56-3*D56</f>
        <v/>
      </c>
      <c r="G56" s="15">
        <f>IF(D56=0,"",(B56-C56)/D56)</f>
        <v/>
      </c>
      <c r="H56" s="13">
        <f>MEDIAN(B27:B56)</f>
        <v/>
      </c>
      <c r="I56" s="13">
        <f>MEDIAN(ABS(B27:B56-H56))</f>
        <v/>
      </c>
      <c r="J56" s="15">
        <f>IF(I56=0,"",0.6745*(B56-H56)/I56)</f>
        <v/>
      </c>
      <c r="K56" s="13">
        <f>0.2*B56+0.8*K55</f>
        <v/>
      </c>
      <c r="L56" s="13">
        <f>C56+3*D56*SQRT(0.2/(2-0.2))</f>
        <v/>
      </c>
      <c r="M56" s="13">
        <f>C56-3*D56*SQRT(0.2/(2-0.2))</f>
        <v/>
      </c>
      <c r="N56" s="13">
        <f>MAX(0,N55+(B56-C56-0.5*D56))</f>
        <v/>
      </c>
      <c r="O56" s="13">
        <f>MIN(0,O55+(B56-C56+0.5*D56))</f>
        <v/>
      </c>
      <c r="P56">
        <f>IF(ABS(G56)&gt;1,P55+1,0)</f>
        <v/>
      </c>
      <c r="Q56">
        <f>IFS(OR(ABS(G56)&gt;3,N56&gt;5*D56,ABS(O56)&gt;5*D56,P56&gt;=5),"CRITICAL",OR(ABS(G56)&gt;2,P56&gt;=3,ABS(J56)&gt;3.5),"EARLY WARNING",ABS(G56)&gt;1,"WATCH",TRUE,"NORMAL")</f>
        <v/>
      </c>
    </row>
    <row r="57">
      <c r="A57" s="12" t="n">
        <v>45082</v>
      </c>
      <c r="B57" s="13">
        <f>Raw_Data!B57</f>
        <v/>
      </c>
      <c r="C57" s="13">
        <f>AVERAGE(B28:B57)</f>
        <v/>
      </c>
      <c r="D57" s="13">
        <f>STDEV.S(B28:B57)</f>
        <v/>
      </c>
      <c r="E57" s="13">
        <f>C57+3*D57</f>
        <v/>
      </c>
      <c r="F57" s="13">
        <f>C57-3*D57</f>
        <v/>
      </c>
      <c r="G57" s="15">
        <f>IF(D57=0,"",(B57-C57)/D57)</f>
        <v/>
      </c>
      <c r="H57" s="13">
        <f>MEDIAN(B28:B57)</f>
        <v/>
      </c>
      <c r="I57" s="13">
        <f>MEDIAN(ABS(B28:B57-H57))</f>
        <v/>
      </c>
      <c r="J57" s="15">
        <f>IF(I57=0,"",0.6745*(B57-H57)/I57)</f>
        <v/>
      </c>
      <c r="K57" s="13">
        <f>0.2*B57+0.8*K56</f>
        <v/>
      </c>
      <c r="L57" s="13">
        <f>C57+3*D57*SQRT(0.2/(2-0.2))</f>
        <v/>
      </c>
      <c r="M57" s="13">
        <f>C57-3*D57*SQRT(0.2/(2-0.2))</f>
        <v/>
      </c>
      <c r="N57" s="13">
        <f>MAX(0,N56+(B57-C57-0.5*D57))</f>
        <v/>
      </c>
      <c r="O57" s="13">
        <f>MIN(0,O56+(B57-C57+0.5*D57))</f>
        <v/>
      </c>
      <c r="P57">
        <f>IF(ABS(G57)&gt;1,P56+1,0)</f>
        <v/>
      </c>
      <c r="Q57">
        <f>IFS(OR(ABS(G57)&gt;3,N57&gt;5*D57,ABS(O57)&gt;5*D57,P57&gt;=5),"CRITICAL",OR(ABS(G57)&gt;2,P57&gt;=3,ABS(J57)&gt;3.5),"EARLY WARNING",ABS(G57)&gt;1,"WATCH",TRUE,"NORMAL")</f>
        <v/>
      </c>
    </row>
    <row r="58">
      <c r="A58" s="12" t="n">
        <v>45083</v>
      </c>
      <c r="B58" s="13">
        <f>Raw_Data!B58</f>
        <v/>
      </c>
      <c r="C58" s="13">
        <f>AVERAGE(B29:B58)</f>
        <v/>
      </c>
      <c r="D58" s="13">
        <f>STDEV.S(B29:B58)</f>
        <v/>
      </c>
      <c r="E58" s="13">
        <f>C58+3*D58</f>
        <v/>
      </c>
      <c r="F58" s="13">
        <f>C58-3*D58</f>
        <v/>
      </c>
      <c r="G58" s="15">
        <f>IF(D58=0,"",(B58-C58)/D58)</f>
        <v/>
      </c>
      <c r="H58" s="13">
        <f>MEDIAN(B29:B58)</f>
        <v/>
      </c>
      <c r="I58" s="13">
        <f>MEDIAN(ABS(B29:B58-H58))</f>
        <v/>
      </c>
      <c r="J58" s="15">
        <f>IF(I58=0,"",0.6745*(B58-H58)/I58)</f>
        <v/>
      </c>
      <c r="K58" s="13">
        <f>0.2*B58+0.8*K57</f>
        <v/>
      </c>
      <c r="L58" s="13">
        <f>C58+3*D58*SQRT(0.2/(2-0.2))</f>
        <v/>
      </c>
      <c r="M58" s="13">
        <f>C58-3*D58*SQRT(0.2/(2-0.2))</f>
        <v/>
      </c>
      <c r="N58" s="13">
        <f>MAX(0,N57+(B58-C58-0.5*D58))</f>
        <v/>
      </c>
      <c r="O58" s="13">
        <f>MIN(0,O57+(B58-C58+0.5*D58))</f>
        <v/>
      </c>
      <c r="P58">
        <f>IF(ABS(G58)&gt;1,P57+1,0)</f>
        <v/>
      </c>
      <c r="Q58">
        <f>IFS(OR(ABS(G58)&gt;3,N58&gt;5*D58,ABS(O58)&gt;5*D58,P58&gt;=5),"CRITICAL",OR(ABS(G58)&gt;2,P58&gt;=3,ABS(J58)&gt;3.5),"EARLY WARNING",ABS(G58)&gt;1,"WATCH",TRUE,"NORMAL")</f>
        <v/>
      </c>
    </row>
    <row r="59">
      <c r="A59" s="12" t="n">
        <v>45084</v>
      </c>
      <c r="B59" s="13">
        <f>Raw_Data!B59</f>
        <v/>
      </c>
      <c r="C59" s="13">
        <f>AVERAGE(B30:B59)</f>
        <v/>
      </c>
      <c r="D59" s="13">
        <f>STDEV.S(B30:B59)</f>
        <v/>
      </c>
      <c r="E59" s="13">
        <f>C59+3*D59</f>
        <v/>
      </c>
      <c r="F59" s="13">
        <f>C59-3*D59</f>
        <v/>
      </c>
      <c r="G59" s="15">
        <f>IF(D59=0,"",(B59-C59)/D59)</f>
        <v/>
      </c>
      <c r="H59" s="13">
        <f>MEDIAN(B30:B59)</f>
        <v/>
      </c>
      <c r="I59" s="13">
        <f>MEDIAN(ABS(B30:B59-H59))</f>
        <v/>
      </c>
      <c r="J59" s="15">
        <f>IF(I59=0,"",0.6745*(B59-H59)/I59)</f>
        <v/>
      </c>
      <c r="K59" s="13">
        <f>0.2*B59+0.8*K58</f>
        <v/>
      </c>
      <c r="L59" s="13">
        <f>C59+3*D59*SQRT(0.2/(2-0.2))</f>
        <v/>
      </c>
      <c r="M59" s="13">
        <f>C59-3*D59*SQRT(0.2/(2-0.2))</f>
        <v/>
      </c>
      <c r="N59" s="13">
        <f>MAX(0,N58+(B59-C59-0.5*D59))</f>
        <v/>
      </c>
      <c r="O59" s="13">
        <f>MIN(0,O58+(B59-C59+0.5*D59))</f>
        <v/>
      </c>
      <c r="P59">
        <f>IF(ABS(G59)&gt;1,P58+1,0)</f>
        <v/>
      </c>
      <c r="Q59">
        <f>IFS(OR(ABS(G59)&gt;3,N59&gt;5*D59,ABS(O59)&gt;5*D59,P59&gt;=5),"CRITICAL",OR(ABS(G59)&gt;2,P59&gt;=3,ABS(J59)&gt;3.5),"EARLY WARNING",ABS(G59)&gt;1,"WATCH",TRUE,"NORMAL")</f>
        <v/>
      </c>
    </row>
    <row r="60">
      <c r="A60" s="12" t="n">
        <v>45085</v>
      </c>
      <c r="B60" s="13">
        <f>Raw_Data!B60</f>
        <v/>
      </c>
      <c r="C60" s="13">
        <f>AVERAGE(B31:B60)</f>
        <v/>
      </c>
      <c r="D60" s="13">
        <f>STDEV.S(B31:B60)</f>
        <v/>
      </c>
      <c r="E60" s="13">
        <f>C60+3*D60</f>
        <v/>
      </c>
      <c r="F60" s="13">
        <f>C60-3*D60</f>
        <v/>
      </c>
      <c r="G60" s="15">
        <f>IF(D60=0,"",(B60-C60)/D60)</f>
        <v/>
      </c>
      <c r="H60" s="13">
        <f>MEDIAN(B31:B60)</f>
        <v/>
      </c>
      <c r="I60" s="13">
        <f>MEDIAN(ABS(B31:B60-H60))</f>
        <v/>
      </c>
      <c r="J60" s="15">
        <f>IF(I60=0,"",0.6745*(B60-H60)/I60)</f>
        <v/>
      </c>
      <c r="K60" s="13">
        <f>0.2*B60+0.8*K59</f>
        <v/>
      </c>
      <c r="L60" s="13">
        <f>C60+3*D60*SQRT(0.2/(2-0.2))</f>
        <v/>
      </c>
      <c r="M60" s="13">
        <f>C60-3*D60*SQRT(0.2/(2-0.2))</f>
        <v/>
      </c>
      <c r="N60" s="13">
        <f>MAX(0,N59+(B60-C60-0.5*D60))</f>
        <v/>
      </c>
      <c r="O60" s="13">
        <f>MIN(0,O59+(B60-C60+0.5*D60))</f>
        <v/>
      </c>
      <c r="P60">
        <f>IF(ABS(G60)&gt;1,P59+1,0)</f>
        <v/>
      </c>
      <c r="Q60">
        <f>IFS(OR(ABS(G60)&gt;3,N60&gt;5*D60,ABS(O60)&gt;5*D60,P60&gt;=5),"CRITICAL",OR(ABS(G60)&gt;2,P60&gt;=3,ABS(J60)&gt;3.5),"EARLY WARNING",ABS(G60)&gt;1,"WATCH",TRUE,"NORMAL")</f>
        <v/>
      </c>
    </row>
    <row r="61">
      <c r="A61" s="12" t="n">
        <v>45086</v>
      </c>
      <c r="B61" s="13">
        <f>Raw_Data!B61</f>
        <v/>
      </c>
      <c r="C61" s="13">
        <f>AVERAGE(B32:B61)</f>
        <v/>
      </c>
      <c r="D61" s="13">
        <f>STDEV.S(B32:B61)</f>
        <v/>
      </c>
      <c r="E61" s="13">
        <f>C61+3*D61</f>
        <v/>
      </c>
      <c r="F61" s="13">
        <f>C61-3*D61</f>
        <v/>
      </c>
      <c r="G61" s="15">
        <f>IF(D61=0,"",(B61-C61)/D61)</f>
        <v/>
      </c>
      <c r="H61" s="13">
        <f>MEDIAN(B32:B61)</f>
        <v/>
      </c>
      <c r="I61" s="13">
        <f>MEDIAN(ABS(B32:B61-H61))</f>
        <v/>
      </c>
      <c r="J61" s="15">
        <f>IF(I61=0,"",0.6745*(B61-H61)/I61)</f>
        <v/>
      </c>
      <c r="K61" s="13">
        <f>0.2*B61+0.8*K60</f>
        <v/>
      </c>
      <c r="L61" s="13">
        <f>C61+3*D61*SQRT(0.2/(2-0.2))</f>
        <v/>
      </c>
      <c r="M61" s="13">
        <f>C61-3*D61*SQRT(0.2/(2-0.2))</f>
        <v/>
      </c>
      <c r="N61" s="13">
        <f>MAX(0,N60+(B61-C61-0.5*D61))</f>
        <v/>
      </c>
      <c r="O61" s="13">
        <f>MIN(0,O60+(B61-C61+0.5*D61))</f>
        <v/>
      </c>
      <c r="P61">
        <f>IF(ABS(G61)&gt;1,P60+1,0)</f>
        <v/>
      </c>
      <c r="Q61">
        <f>IFS(OR(ABS(G61)&gt;3,N61&gt;5*D61,ABS(O61)&gt;5*D61,P61&gt;=5),"CRITICAL",OR(ABS(G61)&gt;2,P61&gt;=3,ABS(J61)&gt;3.5),"EARLY WARNING",ABS(G61)&gt;1,"WATCH",TRUE,"NORMAL")</f>
        <v/>
      </c>
    </row>
    <row r="62">
      <c r="A62" s="12" t="n">
        <v>45087</v>
      </c>
      <c r="B62" s="13">
        <f>Raw_Data!B62</f>
        <v/>
      </c>
      <c r="C62" s="13">
        <f>AVERAGE(B33:B62)</f>
        <v/>
      </c>
      <c r="D62" s="13">
        <f>STDEV.S(B33:B62)</f>
        <v/>
      </c>
      <c r="E62" s="13">
        <f>C62+3*D62</f>
        <v/>
      </c>
      <c r="F62" s="13">
        <f>C62-3*D62</f>
        <v/>
      </c>
      <c r="G62" s="15">
        <f>IF(D62=0,"",(B62-C62)/D62)</f>
        <v/>
      </c>
      <c r="H62" s="13">
        <f>MEDIAN(B33:B62)</f>
        <v/>
      </c>
      <c r="I62" s="13">
        <f>MEDIAN(ABS(B33:B62-H62))</f>
        <v/>
      </c>
      <c r="J62" s="15">
        <f>IF(I62=0,"",0.6745*(B62-H62)/I62)</f>
        <v/>
      </c>
      <c r="K62" s="13">
        <f>0.2*B62+0.8*K61</f>
        <v/>
      </c>
      <c r="L62" s="13">
        <f>C62+3*D62*SQRT(0.2/(2-0.2))</f>
        <v/>
      </c>
      <c r="M62" s="13">
        <f>C62-3*D62*SQRT(0.2/(2-0.2))</f>
        <v/>
      </c>
      <c r="N62" s="13">
        <f>MAX(0,N61+(B62-C62-0.5*D62))</f>
        <v/>
      </c>
      <c r="O62" s="13">
        <f>MIN(0,O61+(B62-C62+0.5*D62))</f>
        <v/>
      </c>
      <c r="P62">
        <f>IF(ABS(G62)&gt;1,P61+1,0)</f>
        <v/>
      </c>
      <c r="Q62">
        <f>IFS(OR(ABS(G62)&gt;3,N62&gt;5*D62,ABS(O62)&gt;5*D62,P62&gt;=5),"CRITICAL",OR(ABS(G62)&gt;2,P62&gt;=3,ABS(J62)&gt;3.5),"EARLY WARNING",ABS(G62)&gt;1,"WATCH",TRUE,"NORMAL")</f>
        <v/>
      </c>
    </row>
    <row r="63">
      <c r="A63" s="12" t="n">
        <v>45088</v>
      </c>
      <c r="B63" s="13">
        <f>Raw_Data!B63</f>
        <v/>
      </c>
      <c r="C63" s="13">
        <f>AVERAGE(B34:B63)</f>
        <v/>
      </c>
      <c r="D63" s="13">
        <f>STDEV.S(B34:B63)</f>
        <v/>
      </c>
      <c r="E63" s="13">
        <f>C63+3*D63</f>
        <v/>
      </c>
      <c r="F63" s="13">
        <f>C63-3*D63</f>
        <v/>
      </c>
      <c r="G63" s="15">
        <f>IF(D63=0,"",(B63-C63)/D63)</f>
        <v/>
      </c>
      <c r="H63" s="13">
        <f>MEDIAN(B34:B63)</f>
        <v/>
      </c>
      <c r="I63" s="13">
        <f>MEDIAN(ABS(B34:B63-H63))</f>
        <v/>
      </c>
      <c r="J63" s="15">
        <f>IF(I63=0,"",0.6745*(B63-H63)/I63)</f>
        <v/>
      </c>
      <c r="K63" s="13">
        <f>0.2*B63+0.8*K62</f>
        <v/>
      </c>
      <c r="L63" s="13">
        <f>C63+3*D63*SQRT(0.2/(2-0.2))</f>
        <v/>
      </c>
      <c r="M63" s="13">
        <f>C63-3*D63*SQRT(0.2/(2-0.2))</f>
        <v/>
      </c>
      <c r="N63" s="13">
        <f>MAX(0,N62+(B63-C63-0.5*D63))</f>
        <v/>
      </c>
      <c r="O63" s="13">
        <f>MIN(0,O62+(B63-C63+0.5*D63))</f>
        <v/>
      </c>
      <c r="P63">
        <f>IF(ABS(G63)&gt;1,P62+1,0)</f>
        <v/>
      </c>
      <c r="Q63">
        <f>IFS(OR(ABS(G63)&gt;3,N63&gt;5*D63,ABS(O63)&gt;5*D63,P63&gt;=5),"CRITICAL",OR(ABS(G63)&gt;2,P63&gt;=3,ABS(J63)&gt;3.5),"EARLY WARNING",ABS(G63)&gt;1,"WATCH",TRUE,"NORMAL")</f>
        <v/>
      </c>
    </row>
    <row r="64">
      <c r="A64" s="12" t="n">
        <v>45089</v>
      </c>
      <c r="B64" s="13">
        <f>Raw_Data!B64</f>
        <v/>
      </c>
      <c r="C64" s="13">
        <f>AVERAGE(B35:B64)</f>
        <v/>
      </c>
      <c r="D64" s="13">
        <f>STDEV.S(B35:B64)</f>
        <v/>
      </c>
      <c r="E64" s="13">
        <f>C64+3*D64</f>
        <v/>
      </c>
      <c r="F64" s="13">
        <f>C64-3*D64</f>
        <v/>
      </c>
      <c r="G64" s="15">
        <f>IF(D64=0,"",(B64-C64)/D64)</f>
        <v/>
      </c>
      <c r="H64" s="13">
        <f>MEDIAN(B35:B64)</f>
        <v/>
      </c>
      <c r="I64" s="13">
        <f>MEDIAN(ABS(B35:B64-H64))</f>
        <v/>
      </c>
      <c r="J64" s="15">
        <f>IF(I64=0,"",0.6745*(B64-H64)/I64)</f>
        <v/>
      </c>
      <c r="K64" s="13">
        <f>0.2*B64+0.8*K63</f>
        <v/>
      </c>
      <c r="L64" s="13">
        <f>C64+3*D64*SQRT(0.2/(2-0.2))</f>
        <v/>
      </c>
      <c r="M64" s="13">
        <f>C64-3*D64*SQRT(0.2/(2-0.2))</f>
        <v/>
      </c>
      <c r="N64" s="13">
        <f>MAX(0,N63+(B64-C64-0.5*D64))</f>
        <v/>
      </c>
      <c r="O64" s="13">
        <f>MIN(0,O63+(B64-C64+0.5*D64))</f>
        <v/>
      </c>
      <c r="P64">
        <f>IF(ABS(G64)&gt;1,P63+1,0)</f>
        <v/>
      </c>
      <c r="Q64">
        <f>IFS(OR(ABS(G64)&gt;3,N64&gt;5*D64,ABS(O64)&gt;5*D64,P64&gt;=5),"CRITICAL",OR(ABS(G64)&gt;2,P64&gt;=3,ABS(J64)&gt;3.5),"EARLY WARNING",ABS(G64)&gt;1,"WATCH",TRUE,"NORMAL")</f>
        <v/>
      </c>
    </row>
    <row r="65">
      <c r="A65" s="12" t="n">
        <v>45090</v>
      </c>
      <c r="B65" s="13">
        <f>Raw_Data!B65</f>
        <v/>
      </c>
      <c r="C65" s="13">
        <f>AVERAGE(B36:B65)</f>
        <v/>
      </c>
      <c r="D65" s="13">
        <f>STDEV.S(B36:B65)</f>
        <v/>
      </c>
      <c r="E65" s="13">
        <f>C65+3*D65</f>
        <v/>
      </c>
      <c r="F65" s="13">
        <f>C65-3*D65</f>
        <v/>
      </c>
      <c r="G65" s="15">
        <f>IF(D65=0,"",(B65-C65)/D65)</f>
        <v/>
      </c>
      <c r="H65" s="13">
        <f>MEDIAN(B36:B65)</f>
        <v/>
      </c>
      <c r="I65" s="13">
        <f>MEDIAN(ABS(B36:B65-H65))</f>
        <v/>
      </c>
      <c r="J65" s="15">
        <f>IF(I65=0,"",0.6745*(B65-H65)/I65)</f>
        <v/>
      </c>
      <c r="K65" s="13">
        <f>0.2*B65+0.8*K64</f>
        <v/>
      </c>
      <c r="L65" s="13">
        <f>C65+3*D65*SQRT(0.2/(2-0.2))</f>
        <v/>
      </c>
      <c r="M65" s="13">
        <f>C65-3*D65*SQRT(0.2/(2-0.2))</f>
        <v/>
      </c>
      <c r="N65" s="13">
        <f>MAX(0,N64+(B65-C65-0.5*D65))</f>
        <v/>
      </c>
      <c r="O65" s="13">
        <f>MIN(0,O64+(B65-C65+0.5*D65))</f>
        <v/>
      </c>
      <c r="P65">
        <f>IF(ABS(G65)&gt;1,P64+1,0)</f>
        <v/>
      </c>
      <c r="Q65">
        <f>IFS(OR(ABS(G65)&gt;3,N65&gt;5*D65,ABS(O65)&gt;5*D65,P65&gt;=5),"CRITICAL",OR(ABS(G65)&gt;2,P65&gt;=3,ABS(J65)&gt;3.5),"EARLY WARNING",ABS(G65)&gt;1,"WATCH",TRUE,"NORMAL")</f>
        <v/>
      </c>
    </row>
    <row r="66">
      <c r="A66" s="12" t="n">
        <v>45091</v>
      </c>
      <c r="B66" s="13">
        <f>Raw_Data!B66</f>
        <v/>
      </c>
      <c r="C66" s="13">
        <f>AVERAGE(B37:B66)</f>
        <v/>
      </c>
      <c r="D66" s="13">
        <f>STDEV.S(B37:B66)</f>
        <v/>
      </c>
      <c r="E66" s="13">
        <f>C66+3*D66</f>
        <v/>
      </c>
      <c r="F66" s="13">
        <f>C66-3*D66</f>
        <v/>
      </c>
      <c r="G66" s="15">
        <f>IF(D66=0,"",(B66-C66)/D66)</f>
        <v/>
      </c>
      <c r="H66" s="13">
        <f>MEDIAN(B37:B66)</f>
        <v/>
      </c>
      <c r="I66" s="13">
        <f>MEDIAN(ABS(B37:B66-H66))</f>
        <v/>
      </c>
      <c r="J66" s="15">
        <f>IF(I66=0,"",0.6745*(B66-H66)/I66)</f>
        <v/>
      </c>
      <c r="K66" s="13">
        <f>0.2*B66+0.8*K65</f>
        <v/>
      </c>
      <c r="L66" s="13">
        <f>C66+3*D66*SQRT(0.2/(2-0.2))</f>
        <v/>
      </c>
      <c r="M66" s="13">
        <f>C66-3*D66*SQRT(0.2/(2-0.2))</f>
        <v/>
      </c>
      <c r="N66" s="13">
        <f>MAX(0,N65+(B66-C66-0.5*D66))</f>
        <v/>
      </c>
      <c r="O66" s="13">
        <f>MIN(0,O65+(B66-C66+0.5*D66))</f>
        <v/>
      </c>
      <c r="P66">
        <f>IF(ABS(G66)&gt;1,P65+1,0)</f>
        <v/>
      </c>
      <c r="Q66">
        <f>IFS(OR(ABS(G66)&gt;3,N66&gt;5*D66,ABS(O66)&gt;5*D66,P66&gt;=5),"CRITICAL",OR(ABS(G66)&gt;2,P66&gt;=3,ABS(J66)&gt;3.5),"EARLY WARNING",ABS(G66)&gt;1,"WATCH",TRUE,"NORMAL")</f>
        <v/>
      </c>
    </row>
    <row r="67">
      <c r="A67" s="12" t="n">
        <v>45092</v>
      </c>
      <c r="B67" s="13">
        <f>Raw_Data!B67</f>
        <v/>
      </c>
      <c r="C67" s="13">
        <f>AVERAGE(B38:B67)</f>
        <v/>
      </c>
      <c r="D67" s="13">
        <f>STDEV.S(B38:B67)</f>
        <v/>
      </c>
      <c r="E67" s="13">
        <f>C67+3*D67</f>
        <v/>
      </c>
      <c r="F67" s="13">
        <f>C67-3*D67</f>
        <v/>
      </c>
      <c r="G67" s="15">
        <f>IF(D67=0,"",(B67-C67)/D67)</f>
        <v/>
      </c>
      <c r="H67" s="13">
        <f>MEDIAN(B38:B67)</f>
        <v/>
      </c>
      <c r="I67" s="13">
        <f>MEDIAN(ABS(B38:B67-H67))</f>
        <v/>
      </c>
      <c r="J67" s="15">
        <f>IF(I67=0,"",0.6745*(B67-H67)/I67)</f>
        <v/>
      </c>
      <c r="K67" s="13">
        <f>0.2*B67+0.8*K66</f>
        <v/>
      </c>
      <c r="L67" s="13">
        <f>C67+3*D67*SQRT(0.2/(2-0.2))</f>
        <v/>
      </c>
      <c r="M67" s="13">
        <f>C67-3*D67*SQRT(0.2/(2-0.2))</f>
        <v/>
      </c>
      <c r="N67" s="13">
        <f>MAX(0,N66+(B67-C67-0.5*D67))</f>
        <v/>
      </c>
      <c r="O67" s="13">
        <f>MIN(0,O66+(B67-C67+0.5*D67))</f>
        <v/>
      </c>
      <c r="P67">
        <f>IF(ABS(G67)&gt;1,P66+1,0)</f>
        <v/>
      </c>
      <c r="Q67">
        <f>IFS(OR(ABS(G67)&gt;3,N67&gt;5*D67,ABS(O67)&gt;5*D67,P67&gt;=5),"CRITICAL",OR(ABS(G67)&gt;2,P67&gt;=3,ABS(J67)&gt;3.5),"EARLY WARNING",ABS(G67)&gt;1,"WATCH",TRUE,"NORMAL")</f>
        <v/>
      </c>
    </row>
    <row r="68">
      <c r="A68" s="12" t="n">
        <v>45093</v>
      </c>
      <c r="B68" s="13">
        <f>Raw_Data!B68</f>
        <v/>
      </c>
      <c r="C68" s="13">
        <f>AVERAGE(B39:B68)</f>
        <v/>
      </c>
      <c r="D68" s="13">
        <f>STDEV.S(B39:B68)</f>
        <v/>
      </c>
      <c r="E68" s="13">
        <f>C68+3*D68</f>
        <v/>
      </c>
      <c r="F68" s="13">
        <f>C68-3*D68</f>
        <v/>
      </c>
      <c r="G68" s="15">
        <f>IF(D68=0,"",(B68-C68)/D68)</f>
        <v/>
      </c>
      <c r="H68" s="13">
        <f>MEDIAN(B39:B68)</f>
        <v/>
      </c>
      <c r="I68" s="13">
        <f>MEDIAN(ABS(B39:B68-H68))</f>
        <v/>
      </c>
      <c r="J68" s="15">
        <f>IF(I68=0,"",0.6745*(B68-H68)/I68)</f>
        <v/>
      </c>
      <c r="K68" s="13">
        <f>0.2*B68+0.8*K67</f>
        <v/>
      </c>
      <c r="L68" s="13">
        <f>C68+3*D68*SQRT(0.2/(2-0.2))</f>
        <v/>
      </c>
      <c r="M68" s="13">
        <f>C68-3*D68*SQRT(0.2/(2-0.2))</f>
        <v/>
      </c>
      <c r="N68" s="13">
        <f>MAX(0,N67+(B68-C68-0.5*D68))</f>
        <v/>
      </c>
      <c r="O68" s="13">
        <f>MIN(0,O67+(B68-C68+0.5*D68))</f>
        <v/>
      </c>
      <c r="P68">
        <f>IF(ABS(G68)&gt;1,P67+1,0)</f>
        <v/>
      </c>
      <c r="Q68">
        <f>IFS(OR(ABS(G68)&gt;3,N68&gt;5*D68,ABS(O68)&gt;5*D68,P68&gt;=5),"CRITICAL",OR(ABS(G68)&gt;2,P68&gt;=3,ABS(J68)&gt;3.5),"EARLY WARNING",ABS(G68)&gt;1,"WATCH",TRUE,"NORMAL")</f>
        <v/>
      </c>
    </row>
    <row r="69">
      <c r="A69" s="12" t="n">
        <v>45094</v>
      </c>
      <c r="B69" s="13">
        <f>Raw_Data!B69</f>
        <v/>
      </c>
      <c r="C69" s="13">
        <f>AVERAGE(B40:B69)</f>
        <v/>
      </c>
      <c r="D69" s="13">
        <f>STDEV.S(B40:B69)</f>
        <v/>
      </c>
      <c r="E69" s="13">
        <f>C69+3*D69</f>
        <v/>
      </c>
      <c r="F69" s="13">
        <f>C69-3*D69</f>
        <v/>
      </c>
      <c r="G69" s="15">
        <f>IF(D69=0,"",(B69-C69)/D69)</f>
        <v/>
      </c>
      <c r="H69" s="13">
        <f>MEDIAN(B40:B69)</f>
        <v/>
      </c>
      <c r="I69" s="13">
        <f>MEDIAN(ABS(B40:B69-H69))</f>
        <v/>
      </c>
      <c r="J69" s="15">
        <f>IF(I69=0,"",0.6745*(B69-H69)/I69)</f>
        <v/>
      </c>
      <c r="K69" s="13">
        <f>0.2*B69+0.8*K68</f>
        <v/>
      </c>
      <c r="L69" s="13">
        <f>C69+3*D69*SQRT(0.2/(2-0.2))</f>
        <v/>
      </c>
      <c r="M69" s="13">
        <f>C69-3*D69*SQRT(0.2/(2-0.2))</f>
        <v/>
      </c>
      <c r="N69" s="13">
        <f>MAX(0,N68+(B69-C69-0.5*D69))</f>
        <v/>
      </c>
      <c r="O69" s="13">
        <f>MIN(0,O68+(B69-C69+0.5*D69))</f>
        <v/>
      </c>
      <c r="P69">
        <f>IF(ABS(G69)&gt;1,P68+1,0)</f>
        <v/>
      </c>
      <c r="Q69">
        <f>IFS(OR(ABS(G69)&gt;3,N69&gt;5*D69,ABS(O69)&gt;5*D69,P69&gt;=5),"CRITICAL",OR(ABS(G69)&gt;2,P69&gt;=3,ABS(J69)&gt;3.5),"EARLY WARNING",ABS(G69)&gt;1,"WATCH",TRUE,"NORMAL")</f>
        <v/>
      </c>
    </row>
    <row r="70">
      <c r="A70" s="12" t="n">
        <v>45095</v>
      </c>
      <c r="B70" s="13">
        <f>Raw_Data!B70</f>
        <v/>
      </c>
      <c r="C70" s="13">
        <f>AVERAGE(B41:B70)</f>
        <v/>
      </c>
      <c r="D70" s="13">
        <f>STDEV.S(B41:B70)</f>
        <v/>
      </c>
      <c r="E70" s="13">
        <f>C70+3*D70</f>
        <v/>
      </c>
      <c r="F70" s="13">
        <f>C70-3*D70</f>
        <v/>
      </c>
      <c r="G70" s="15">
        <f>IF(D70=0,"",(B70-C70)/D70)</f>
        <v/>
      </c>
      <c r="H70" s="13">
        <f>MEDIAN(B41:B70)</f>
        <v/>
      </c>
      <c r="I70" s="13">
        <f>MEDIAN(ABS(B41:B70-H70))</f>
        <v/>
      </c>
      <c r="J70" s="15">
        <f>IF(I70=0,"",0.6745*(B70-H70)/I70)</f>
        <v/>
      </c>
      <c r="K70" s="13">
        <f>0.2*B70+0.8*K69</f>
        <v/>
      </c>
      <c r="L70" s="13">
        <f>C70+3*D70*SQRT(0.2/(2-0.2))</f>
        <v/>
      </c>
      <c r="M70" s="13">
        <f>C70-3*D70*SQRT(0.2/(2-0.2))</f>
        <v/>
      </c>
      <c r="N70" s="13">
        <f>MAX(0,N69+(B70-C70-0.5*D70))</f>
        <v/>
      </c>
      <c r="O70" s="13">
        <f>MIN(0,O69+(B70-C70+0.5*D70))</f>
        <v/>
      </c>
      <c r="P70">
        <f>IF(ABS(G70)&gt;1,P69+1,0)</f>
        <v/>
      </c>
      <c r="Q70">
        <f>IFS(OR(ABS(G70)&gt;3,N70&gt;5*D70,ABS(O70)&gt;5*D70,P70&gt;=5),"CRITICAL",OR(ABS(G70)&gt;2,P70&gt;=3,ABS(J70)&gt;3.5),"EARLY WARNING",ABS(G70)&gt;1,"WATCH",TRUE,"NORMAL")</f>
        <v/>
      </c>
    </row>
    <row r="71">
      <c r="A71" s="12" t="n">
        <v>45096</v>
      </c>
      <c r="B71" s="13">
        <f>Raw_Data!B71</f>
        <v/>
      </c>
      <c r="C71" s="13">
        <f>AVERAGE(B42:B71)</f>
        <v/>
      </c>
      <c r="D71" s="13">
        <f>STDEV.S(B42:B71)</f>
        <v/>
      </c>
      <c r="E71" s="13">
        <f>C71+3*D71</f>
        <v/>
      </c>
      <c r="F71" s="13">
        <f>C71-3*D71</f>
        <v/>
      </c>
      <c r="G71" s="15">
        <f>IF(D71=0,"",(B71-C71)/D71)</f>
        <v/>
      </c>
      <c r="H71" s="13">
        <f>MEDIAN(B42:B71)</f>
        <v/>
      </c>
      <c r="I71" s="13">
        <f>MEDIAN(ABS(B42:B71-H71))</f>
        <v/>
      </c>
      <c r="J71" s="15">
        <f>IF(I71=0,"",0.6745*(B71-H71)/I71)</f>
        <v/>
      </c>
      <c r="K71" s="13">
        <f>0.2*B71+0.8*K70</f>
        <v/>
      </c>
      <c r="L71" s="13">
        <f>C71+3*D71*SQRT(0.2/(2-0.2))</f>
        <v/>
      </c>
      <c r="M71" s="13">
        <f>C71-3*D71*SQRT(0.2/(2-0.2))</f>
        <v/>
      </c>
      <c r="N71" s="13">
        <f>MAX(0,N70+(B71-C71-0.5*D71))</f>
        <v/>
      </c>
      <c r="O71" s="13">
        <f>MIN(0,O70+(B71-C71+0.5*D71))</f>
        <v/>
      </c>
      <c r="P71">
        <f>IF(ABS(G71)&gt;1,P70+1,0)</f>
        <v/>
      </c>
      <c r="Q71">
        <f>IFS(OR(ABS(G71)&gt;3,N71&gt;5*D71,ABS(O71)&gt;5*D71,P71&gt;=5),"CRITICAL",OR(ABS(G71)&gt;2,P71&gt;=3,ABS(J71)&gt;3.5),"EARLY WARNING",ABS(G71)&gt;1,"WATCH",TRUE,"NORMAL")</f>
        <v/>
      </c>
    </row>
    <row r="72">
      <c r="A72" s="12" t="n">
        <v>45097</v>
      </c>
      <c r="B72" s="13">
        <f>Raw_Data!B72</f>
        <v/>
      </c>
      <c r="C72" s="13">
        <f>AVERAGE(B43:B72)</f>
        <v/>
      </c>
      <c r="D72" s="13">
        <f>STDEV.S(B43:B72)</f>
        <v/>
      </c>
      <c r="E72" s="13">
        <f>C72+3*D72</f>
        <v/>
      </c>
      <c r="F72" s="13">
        <f>C72-3*D72</f>
        <v/>
      </c>
      <c r="G72" s="15">
        <f>IF(D72=0,"",(B72-C72)/D72)</f>
        <v/>
      </c>
      <c r="H72" s="13">
        <f>MEDIAN(B43:B72)</f>
        <v/>
      </c>
      <c r="I72" s="13">
        <f>MEDIAN(ABS(B43:B72-H72))</f>
        <v/>
      </c>
      <c r="J72" s="15">
        <f>IF(I72=0,"",0.6745*(B72-H72)/I72)</f>
        <v/>
      </c>
      <c r="K72" s="13">
        <f>0.2*B72+0.8*K71</f>
        <v/>
      </c>
      <c r="L72" s="13">
        <f>C72+3*D72*SQRT(0.2/(2-0.2))</f>
        <v/>
      </c>
      <c r="M72" s="13">
        <f>C72-3*D72*SQRT(0.2/(2-0.2))</f>
        <v/>
      </c>
      <c r="N72" s="13">
        <f>MAX(0,N71+(B72-C72-0.5*D72))</f>
        <v/>
      </c>
      <c r="O72" s="13">
        <f>MIN(0,O71+(B72-C72+0.5*D72))</f>
        <v/>
      </c>
      <c r="P72">
        <f>IF(ABS(G72)&gt;1,P71+1,0)</f>
        <v/>
      </c>
      <c r="Q72">
        <f>IFS(OR(ABS(G72)&gt;3,N72&gt;5*D72,ABS(O72)&gt;5*D72,P72&gt;=5),"CRITICAL",OR(ABS(G72)&gt;2,P72&gt;=3,ABS(J72)&gt;3.5),"EARLY WARNING",ABS(G72)&gt;1,"WATCH",TRUE,"NORMAL")</f>
        <v/>
      </c>
    </row>
    <row r="73">
      <c r="A73" s="12" t="n">
        <v>45098</v>
      </c>
      <c r="B73" s="13">
        <f>Raw_Data!B73</f>
        <v/>
      </c>
      <c r="C73" s="13">
        <f>AVERAGE(B44:B73)</f>
        <v/>
      </c>
      <c r="D73" s="13">
        <f>STDEV.S(B44:B73)</f>
        <v/>
      </c>
      <c r="E73" s="13">
        <f>C73+3*D73</f>
        <v/>
      </c>
      <c r="F73" s="13">
        <f>C73-3*D73</f>
        <v/>
      </c>
      <c r="G73" s="15">
        <f>IF(D73=0,"",(B73-C73)/D73)</f>
        <v/>
      </c>
      <c r="H73" s="13">
        <f>MEDIAN(B44:B73)</f>
        <v/>
      </c>
      <c r="I73" s="13">
        <f>MEDIAN(ABS(B44:B73-H73))</f>
        <v/>
      </c>
      <c r="J73" s="15">
        <f>IF(I73=0,"",0.6745*(B73-H73)/I73)</f>
        <v/>
      </c>
      <c r="K73" s="13">
        <f>0.2*B73+0.8*K72</f>
        <v/>
      </c>
      <c r="L73" s="13">
        <f>C73+3*D73*SQRT(0.2/(2-0.2))</f>
        <v/>
      </c>
      <c r="M73" s="13">
        <f>C73-3*D73*SQRT(0.2/(2-0.2))</f>
        <v/>
      </c>
      <c r="N73" s="13">
        <f>MAX(0,N72+(B73-C73-0.5*D73))</f>
        <v/>
      </c>
      <c r="O73" s="13">
        <f>MIN(0,O72+(B73-C73+0.5*D73))</f>
        <v/>
      </c>
      <c r="P73">
        <f>IF(ABS(G73)&gt;1,P72+1,0)</f>
        <v/>
      </c>
      <c r="Q73">
        <f>IFS(OR(ABS(G73)&gt;3,N73&gt;5*D73,ABS(O73)&gt;5*D73,P73&gt;=5),"CRITICAL",OR(ABS(G73)&gt;2,P73&gt;=3,ABS(J73)&gt;3.5),"EARLY WARNING",ABS(G73)&gt;1,"WATCH",TRUE,"NORMAL")</f>
        <v/>
      </c>
    </row>
    <row r="74">
      <c r="A74" s="12" t="n">
        <v>45099</v>
      </c>
      <c r="B74" s="13">
        <f>Raw_Data!B74</f>
        <v/>
      </c>
      <c r="C74" s="13">
        <f>AVERAGE(B45:B74)</f>
        <v/>
      </c>
      <c r="D74" s="13">
        <f>STDEV.S(B45:B74)</f>
        <v/>
      </c>
      <c r="E74" s="13">
        <f>C74+3*D74</f>
        <v/>
      </c>
      <c r="F74" s="13">
        <f>C74-3*D74</f>
        <v/>
      </c>
      <c r="G74" s="15">
        <f>IF(D74=0,"",(B74-C74)/D74)</f>
        <v/>
      </c>
      <c r="H74" s="13">
        <f>MEDIAN(B45:B74)</f>
        <v/>
      </c>
      <c r="I74" s="13">
        <f>MEDIAN(ABS(B45:B74-H74))</f>
        <v/>
      </c>
      <c r="J74" s="15">
        <f>IF(I74=0,"",0.6745*(B74-H74)/I74)</f>
        <v/>
      </c>
      <c r="K74" s="13">
        <f>0.2*B74+0.8*K73</f>
        <v/>
      </c>
      <c r="L74" s="13">
        <f>C74+3*D74*SQRT(0.2/(2-0.2))</f>
        <v/>
      </c>
      <c r="M74" s="13">
        <f>C74-3*D74*SQRT(0.2/(2-0.2))</f>
        <v/>
      </c>
      <c r="N74" s="13">
        <f>MAX(0,N73+(B74-C74-0.5*D74))</f>
        <v/>
      </c>
      <c r="O74" s="13">
        <f>MIN(0,O73+(B74-C74+0.5*D74))</f>
        <v/>
      </c>
      <c r="P74">
        <f>IF(ABS(G74)&gt;1,P73+1,0)</f>
        <v/>
      </c>
      <c r="Q74">
        <f>IFS(OR(ABS(G74)&gt;3,N74&gt;5*D74,ABS(O74)&gt;5*D74,P74&gt;=5),"CRITICAL",OR(ABS(G74)&gt;2,P74&gt;=3,ABS(J74)&gt;3.5),"EARLY WARNING",ABS(G74)&gt;1,"WATCH",TRUE,"NORMAL")</f>
        <v/>
      </c>
    </row>
    <row r="75">
      <c r="A75" s="12" t="n">
        <v>45100</v>
      </c>
      <c r="B75" s="13">
        <f>Raw_Data!B75</f>
        <v/>
      </c>
      <c r="C75" s="13">
        <f>AVERAGE(B46:B75)</f>
        <v/>
      </c>
      <c r="D75" s="13">
        <f>STDEV.S(B46:B75)</f>
        <v/>
      </c>
      <c r="E75" s="13">
        <f>C75+3*D75</f>
        <v/>
      </c>
      <c r="F75" s="13">
        <f>C75-3*D75</f>
        <v/>
      </c>
      <c r="G75" s="15">
        <f>IF(D75=0,"",(B75-C75)/D75)</f>
        <v/>
      </c>
      <c r="H75" s="13">
        <f>MEDIAN(B46:B75)</f>
        <v/>
      </c>
      <c r="I75" s="13">
        <f>MEDIAN(ABS(B46:B75-H75))</f>
        <v/>
      </c>
      <c r="J75" s="15">
        <f>IF(I75=0,"",0.6745*(B75-H75)/I75)</f>
        <v/>
      </c>
      <c r="K75" s="13">
        <f>0.2*B75+0.8*K74</f>
        <v/>
      </c>
      <c r="L75" s="13">
        <f>C75+3*D75*SQRT(0.2/(2-0.2))</f>
        <v/>
      </c>
      <c r="M75" s="13">
        <f>C75-3*D75*SQRT(0.2/(2-0.2))</f>
        <v/>
      </c>
      <c r="N75" s="13">
        <f>MAX(0,N74+(B75-C75-0.5*D75))</f>
        <v/>
      </c>
      <c r="O75" s="13">
        <f>MIN(0,O74+(B75-C75+0.5*D75))</f>
        <v/>
      </c>
      <c r="P75">
        <f>IF(ABS(G75)&gt;1,P74+1,0)</f>
        <v/>
      </c>
      <c r="Q75">
        <f>IFS(OR(ABS(G75)&gt;3,N75&gt;5*D75,ABS(O75)&gt;5*D75,P75&gt;=5),"CRITICAL",OR(ABS(G75)&gt;2,P75&gt;=3,ABS(J75)&gt;3.5),"EARLY WARNING",ABS(G75)&gt;1,"WATCH",TRUE,"NORMAL")</f>
        <v/>
      </c>
    </row>
    <row r="76">
      <c r="A76" s="12" t="n">
        <v>45101</v>
      </c>
      <c r="B76" s="13">
        <f>Raw_Data!B76</f>
        <v/>
      </c>
      <c r="C76" s="13">
        <f>AVERAGE(B47:B76)</f>
        <v/>
      </c>
      <c r="D76" s="13">
        <f>STDEV.S(B47:B76)</f>
        <v/>
      </c>
      <c r="E76" s="13">
        <f>C76+3*D76</f>
        <v/>
      </c>
      <c r="F76" s="13">
        <f>C76-3*D76</f>
        <v/>
      </c>
      <c r="G76" s="15">
        <f>IF(D76=0,"",(B76-C76)/D76)</f>
        <v/>
      </c>
      <c r="H76" s="13">
        <f>MEDIAN(B47:B76)</f>
        <v/>
      </c>
      <c r="I76" s="13">
        <f>MEDIAN(ABS(B47:B76-H76))</f>
        <v/>
      </c>
      <c r="J76" s="15">
        <f>IF(I76=0,"",0.6745*(B76-H76)/I76)</f>
        <v/>
      </c>
      <c r="K76" s="13">
        <f>0.2*B76+0.8*K75</f>
        <v/>
      </c>
      <c r="L76" s="13">
        <f>C76+3*D76*SQRT(0.2/(2-0.2))</f>
        <v/>
      </c>
      <c r="M76" s="13">
        <f>C76-3*D76*SQRT(0.2/(2-0.2))</f>
        <v/>
      </c>
      <c r="N76" s="13">
        <f>MAX(0,N75+(B76-C76-0.5*D76))</f>
        <v/>
      </c>
      <c r="O76" s="13">
        <f>MIN(0,O75+(B76-C76+0.5*D76))</f>
        <v/>
      </c>
      <c r="P76">
        <f>IF(ABS(G76)&gt;1,P75+1,0)</f>
        <v/>
      </c>
      <c r="Q76">
        <f>IFS(OR(ABS(G76)&gt;3,N76&gt;5*D76,ABS(O76)&gt;5*D76,P76&gt;=5),"CRITICAL",OR(ABS(G76)&gt;2,P76&gt;=3,ABS(J76)&gt;3.5),"EARLY WARNING",ABS(G76)&gt;1,"WATCH",TRUE,"NORMAL")</f>
        <v/>
      </c>
    </row>
    <row r="77">
      <c r="A77" s="12" t="n">
        <v>45102</v>
      </c>
      <c r="B77" s="13">
        <f>Raw_Data!B77</f>
        <v/>
      </c>
      <c r="C77" s="13">
        <f>AVERAGE(B48:B77)</f>
        <v/>
      </c>
      <c r="D77" s="13">
        <f>STDEV.S(B48:B77)</f>
        <v/>
      </c>
      <c r="E77" s="13">
        <f>C77+3*D77</f>
        <v/>
      </c>
      <c r="F77" s="13">
        <f>C77-3*D77</f>
        <v/>
      </c>
      <c r="G77" s="15">
        <f>IF(D77=0,"",(B77-C77)/D77)</f>
        <v/>
      </c>
      <c r="H77" s="13">
        <f>MEDIAN(B48:B77)</f>
        <v/>
      </c>
      <c r="I77" s="13">
        <f>MEDIAN(ABS(B48:B77-H77))</f>
        <v/>
      </c>
      <c r="J77" s="15">
        <f>IF(I77=0,"",0.6745*(B77-H77)/I77)</f>
        <v/>
      </c>
      <c r="K77" s="13">
        <f>0.2*B77+0.8*K76</f>
        <v/>
      </c>
      <c r="L77" s="13">
        <f>C77+3*D77*SQRT(0.2/(2-0.2))</f>
        <v/>
      </c>
      <c r="M77" s="13">
        <f>C77-3*D77*SQRT(0.2/(2-0.2))</f>
        <v/>
      </c>
      <c r="N77" s="13">
        <f>MAX(0,N76+(B77-C77-0.5*D77))</f>
        <v/>
      </c>
      <c r="O77" s="13">
        <f>MIN(0,O76+(B77-C77+0.5*D77))</f>
        <v/>
      </c>
      <c r="P77">
        <f>IF(ABS(G77)&gt;1,P76+1,0)</f>
        <v/>
      </c>
      <c r="Q77">
        <f>IFS(OR(ABS(G77)&gt;3,N77&gt;5*D77,ABS(O77)&gt;5*D77,P77&gt;=5),"CRITICAL",OR(ABS(G77)&gt;2,P77&gt;=3,ABS(J77)&gt;3.5),"EARLY WARNING",ABS(G77)&gt;1,"WATCH",TRUE,"NORMAL")</f>
        <v/>
      </c>
    </row>
    <row r="78">
      <c r="A78" s="12" t="n">
        <v>45103</v>
      </c>
      <c r="B78" s="13">
        <f>Raw_Data!B78</f>
        <v/>
      </c>
      <c r="C78" s="13">
        <f>AVERAGE(B49:B78)</f>
        <v/>
      </c>
      <c r="D78" s="13">
        <f>STDEV.S(B49:B78)</f>
        <v/>
      </c>
      <c r="E78" s="13">
        <f>C78+3*D78</f>
        <v/>
      </c>
      <c r="F78" s="13">
        <f>C78-3*D78</f>
        <v/>
      </c>
      <c r="G78" s="15">
        <f>IF(D78=0,"",(B78-C78)/D78)</f>
        <v/>
      </c>
      <c r="H78" s="13">
        <f>MEDIAN(B49:B78)</f>
        <v/>
      </c>
      <c r="I78" s="13">
        <f>MEDIAN(ABS(B49:B78-H78))</f>
        <v/>
      </c>
      <c r="J78" s="15">
        <f>IF(I78=0,"",0.6745*(B78-H78)/I78)</f>
        <v/>
      </c>
      <c r="K78" s="13">
        <f>0.2*B78+0.8*K77</f>
        <v/>
      </c>
      <c r="L78" s="13">
        <f>C78+3*D78*SQRT(0.2/(2-0.2))</f>
        <v/>
      </c>
      <c r="M78" s="13">
        <f>C78-3*D78*SQRT(0.2/(2-0.2))</f>
        <v/>
      </c>
      <c r="N78" s="13">
        <f>MAX(0,N77+(B78-C78-0.5*D78))</f>
        <v/>
      </c>
      <c r="O78" s="13">
        <f>MIN(0,O77+(B78-C78+0.5*D78))</f>
        <v/>
      </c>
      <c r="P78">
        <f>IF(ABS(G78)&gt;1,P77+1,0)</f>
        <v/>
      </c>
      <c r="Q78">
        <f>IFS(OR(ABS(G78)&gt;3,N78&gt;5*D78,ABS(O78)&gt;5*D78,P78&gt;=5),"CRITICAL",OR(ABS(G78)&gt;2,P78&gt;=3,ABS(J78)&gt;3.5),"EARLY WARNING",ABS(G78)&gt;1,"WATCH",TRUE,"NORMAL")</f>
        <v/>
      </c>
    </row>
    <row r="79">
      <c r="A79" s="12" t="n">
        <v>45104</v>
      </c>
      <c r="B79" s="13">
        <f>Raw_Data!B79</f>
        <v/>
      </c>
      <c r="C79" s="13">
        <f>AVERAGE(B50:B79)</f>
        <v/>
      </c>
      <c r="D79" s="13">
        <f>STDEV.S(B50:B79)</f>
        <v/>
      </c>
      <c r="E79" s="13">
        <f>C79+3*D79</f>
        <v/>
      </c>
      <c r="F79" s="13">
        <f>C79-3*D79</f>
        <v/>
      </c>
      <c r="G79" s="15">
        <f>IF(D79=0,"",(B79-C79)/D79)</f>
        <v/>
      </c>
      <c r="H79" s="13">
        <f>MEDIAN(B50:B79)</f>
        <v/>
      </c>
      <c r="I79" s="13">
        <f>MEDIAN(ABS(B50:B79-H79))</f>
        <v/>
      </c>
      <c r="J79" s="15">
        <f>IF(I79=0,"",0.6745*(B79-H79)/I79)</f>
        <v/>
      </c>
      <c r="K79" s="13">
        <f>0.2*B79+0.8*K78</f>
        <v/>
      </c>
      <c r="L79" s="13">
        <f>C79+3*D79*SQRT(0.2/(2-0.2))</f>
        <v/>
      </c>
      <c r="M79" s="13">
        <f>C79-3*D79*SQRT(0.2/(2-0.2))</f>
        <v/>
      </c>
      <c r="N79" s="13">
        <f>MAX(0,N78+(B79-C79-0.5*D79))</f>
        <v/>
      </c>
      <c r="O79" s="13">
        <f>MIN(0,O78+(B79-C79+0.5*D79))</f>
        <v/>
      </c>
      <c r="P79">
        <f>IF(ABS(G79)&gt;1,P78+1,0)</f>
        <v/>
      </c>
      <c r="Q79">
        <f>IFS(OR(ABS(G79)&gt;3,N79&gt;5*D79,ABS(O79)&gt;5*D79,P79&gt;=5),"CRITICAL",OR(ABS(G79)&gt;2,P79&gt;=3,ABS(J79)&gt;3.5),"EARLY WARNING",ABS(G79)&gt;1,"WATCH",TRUE,"NORMAL")</f>
        <v/>
      </c>
    </row>
    <row r="80">
      <c r="A80" s="12" t="n">
        <v>45105</v>
      </c>
      <c r="B80" s="13">
        <f>Raw_Data!B80</f>
        <v/>
      </c>
      <c r="C80" s="13">
        <f>AVERAGE(B51:B80)</f>
        <v/>
      </c>
      <c r="D80" s="13">
        <f>STDEV.S(B51:B80)</f>
        <v/>
      </c>
      <c r="E80" s="13">
        <f>C80+3*D80</f>
        <v/>
      </c>
      <c r="F80" s="13">
        <f>C80-3*D80</f>
        <v/>
      </c>
      <c r="G80" s="15">
        <f>IF(D80=0,"",(B80-C80)/D80)</f>
        <v/>
      </c>
      <c r="H80" s="13">
        <f>MEDIAN(B51:B80)</f>
        <v/>
      </c>
      <c r="I80" s="13">
        <f>MEDIAN(ABS(B51:B80-H80))</f>
        <v/>
      </c>
      <c r="J80" s="15">
        <f>IF(I80=0,"",0.6745*(B80-H80)/I80)</f>
        <v/>
      </c>
      <c r="K80" s="13">
        <f>0.2*B80+0.8*K79</f>
        <v/>
      </c>
      <c r="L80" s="13">
        <f>C80+3*D80*SQRT(0.2/(2-0.2))</f>
        <v/>
      </c>
      <c r="M80" s="13">
        <f>C80-3*D80*SQRT(0.2/(2-0.2))</f>
        <v/>
      </c>
      <c r="N80" s="13">
        <f>MAX(0,N79+(B80-C80-0.5*D80))</f>
        <v/>
      </c>
      <c r="O80" s="13">
        <f>MIN(0,O79+(B80-C80+0.5*D80))</f>
        <v/>
      </c>
      <c r="P80">
        <f>IF(ABS(G80)&gt;1,P79+1,0)</f>
        <v/>
      </c>
      <c r="Q80">
        <f>IFS(OR(ABS(G80)&gt;3,N80&gt;5*D80,ABS(O80)&gt;5*D80,P80&gt;=5),"CRITICAL",OR(ABS(G80)&gt;2,P80&gt;=3,ABS(J80)&gt;3.5),"EARLY WARNING",ABS(G80)&gt;1,"WATCH",TRUE,"NORMAL")</f>
        <v/>
      </c>
    </row>
    <row r="81">
      <c r="A81" s="12" t="n">
        <v>45106</v>
      </c>
      <c r="B81" s="13">
        <f>Raw_Data!B81</f>
        <v/>
      </c>
      <c r="C81" s="13">
        <f>AVERAGE(B52:B81)</f>
        <v/>
      </c>
      <c r="D81" s="13">
        <f>STDEV.S(B52:B81)</f>
        <v/>
      </c>
      <c r="E81" s="13">
        <f>C81+3*D81</f>
        <v/>
      </c>
      <c r="F81" s="13">
        <f>C81-3*D81</f>
        <v/>
      </c>
      <c r="G81" s="15">
        <f>IF(D81=0,"",(B81-C81)/D81)</f>
        <v/>
      </c>
      <c r="H81" s="13">
        <f>MEDIAN(B52:B81)</f>
        <v/>
      </c>
      <c r="I81" s="13">
        <f>MEDIAN(ABS(B52:B81-H81))</f>
        <v/>
      </c>
      <c r="J81" s="15">
        <f>IF(I81=0,"",0.6745*(B81-H81)/I81)</f>
        <v/>
      </c>
      <c r="K81" s="13">
        <f>0.2*B81+0.8*K80</f>
        <v/>
      </c>
      <c r="L81" s="13">
        <f>C81+3*D81*SQRT(0.2/(2-0.2))</f>
        <v/>
      </c>
      <c r="M81" s="13">
        <f>C81-3*D81*SQRT(0.2/(2-0.2))</f>
        <v/>
      </c>
      <c r="N81" s="13">
        <f>MAX(0,N80+(B81-C81-0.5*D81))</f>
        <v/>
      </c>
      <c r="O81" s="13">
        <f>MIN(0,O80+(B81-C81+0.5*D81))</f>
        <v/>
      </c>
      <c r="P81">
        <f>IF(ABS(G81)&gt;1,P80+1,0)</f>
        <v/>
      </c>
      <c r="Q81">
        <f>IFS(OR(ABS(G81)&gt;3,N81&gt;5*D81,ABS(O81)&gt;5*D81,P81&gt;=5),"CRITICAL",OR(ABS(G81)&gt;2,P81&gt;=3,ABS(J81)&gt;3.5),"EARLY WARNING",ABS(G81)&gt;1,"WATCH",TRUE,"NORMAL")</f>
        <v/>
      </c>
    </row>
    <row r="82">
      <c r="A82" s="12" t="n">
        <v>45107</v>
      </c>
      <c r="B82" s="13">
        <f>Raw_Data!B82</f>
        <v/>
      </c>
      <c r="C82" s="13">
        <f>AVERAGE(B53:B82)</f>
        <v/>
      </c>
      <c r="D82" s="13">
        <f>STDEV.S(B53:B82)</f>
        <v/>
      </c>
      <c r="E82" s="13">
        <f>C82+3*D82</f>
        <v/>
      </c>
      <c r="F82" s="13">
        <f>C82-3*D82</f>
        <v/>
      </c>
      <c r="G82" s="15">
        <f>IF(D82=0,"",(B82-C82)/D82)</f>
        <v/>
      </c>
      <c r="H82" s="13">
        <f>MEDIAN(B53:B82)</f>
        <v/>
      </c>
      <c r="I82" s="13">
        <f>MEDIAN(ABS(B53:B82-H82))</f>
        <v/>
      </c>
      <c r="J82" s="15">
        <f>IF(I82=0,"",0.6745*(B82-H82)/I82)</f>
        <v/>
      </c>
      <c r="K82" s="13">
        <f>0.2*B82+0.8*K81</f>
        <v/>
      </c>
      <c r="L82" s="13">
        <f>C82+3*D82*SQRT(0.2/(2-0.2))</f>
        <v/>
      </c>
      <c r="M82" s="13">
        <f>C82-3*D82*SQRT(0.2/(2-0.2))</f>
        <v/>
      </c>
      <c r="N82" s="13">
        <f>MAX(0,N81+(B82-C82-0.5*D82))</f>
        <v/>
      </c>
      <c r="O82" s="13">
        <f>MIN(0,O81+(B82-C82+0.5*D82))</f>
        <v/>
      </c>
      <c r="P82">
        <f>IF(ABS(G82)&gt;1,P81+1,0)</f>
        <v/>
      </c>
      <c r="Q82">
        <f>IFS(OR(ABS(G82)&gt;3,N82&gt;5*D82,ABS(O82)&gt;5*D82,P82&gt;=5),"CRITICAL",OR(ABS(G82)&gt;2,P82&gt;=3,ABS(J82)&gt;3.5),"EARLY WARNING",ABS(G82)&gt;1,"WATCH",TRUE,"NORMAL")</f>
        <v/>
      </c>
    </row>
    <row r="83">
      <c r="A83" s="12" t="n">
        <v>45108</v>
      </c>
      <c r="B83" s="13">
        <f>Raw_Data!B83</f>
        <v/>
      </c>
      <c r="C83" s="13">
        <f>AVERAGE(B54:B83)</f>
        <v/>
      </c>
      <c r="D83" s="13">
        <f>STDEV.S(B54:B83)</f>
        <v/>
      </c>
      <c r="E83" s="13">
        <f>C83+3*D83</f>
        <v/>
      </c>
      <c r="F83" s="13">
        <f>C83-3*D83</f>
        <v/>
      </c>
      <c r="G83" s="15">
        <f>IF(D83=0,"",(B83-C83)/D83)</f>
        <v/>
      </c>
      <c r="H83" s="13">
        <f>MEDIAN(B54:B83)</f>
        <v/>
      </c>
      <c r="I83" s="13">
        <f>MEDIAN(ABS(B54:B83-H83))</f>
        <v/>
      </c>
      <c r="J83" s="15">
        <f>IF(I83=0,"",0.6745*(B83-H83)/I83)</f>
        <v/>
      </c>
      <c r="K83" s="13">
        <f>0.2*B83+0.8*K82</f>
        <v/>
      </c>
      <c r="L83" s="13">
        <f>C83+3*D83*SQRT(0.2/(2-0.2))</f>
        <v/>
      </c>
      <c r="M83" s="13">
        <f>C83-3*D83*SQRT(0.2/(2-0.2))</f>
        <v/>
      </c>
      <c r="N83" s="13">
        <f>MAX(0,N82+(B83-C83-0.5*D83))</f>
        <v/>
      </c>
      <c r="O83" s="13">
        <f>MIN(0,O82+(B83-C83+0.5*D83))</f>
        <v/>
      </c>
      <c r="P83">
        <f>IF(ABS(G83)&gt;1,P82+1,0)</f>
        <v/>
      </c>
      <c r="Q83">
        <f>IFS(OR(ABS(G83)&gt;3,N83&gt;5*D83,ABS(O83)&gt;5*D83,P83&gt;=5),"CRITICAL",OR(ABS(G83)&gt;2,P83&gt;=3,ABS(J83)&gt;3.5),"EARLY WARNING",ABS(G83)&gt;1,"WATCH",TRUE,"NORMAL")</f>
        <v/>
      </c>
    </row>
    <row r="84">
      <c r="A84" s="12" t="n">
        <v>45109</v>
      </c>
      <c r="B84" s="13">
        <f>Raw_Data!B84</f>
        <v/>
      </c>
      <c r="C84" s="13">
        <f>AVERAGE(B55:B84)</f>
        <v/>
      </c>
      <c r="D84" s="13">
        <f>STDEV.S(B55:B84)</f>
        <v/>
      </c>
      <c r="E84" s="13">
        <f>C84+3*D84</f>
        <v/>
      </c>
      <c r="F84" s="13">
        <f>C84-3*D84</f>
        <v/>
      </c>
      <c r="G84" s="15">
        <f>IF(D84=0,"",(B84-C84)/D84)</f>
        <v/>
      </c>
      <c r="H84" s="13">
        <f>MEDIAN(B55:B84)</f>
        <v/>
      </c>
      <c r="I84" s="13">
        <f>MEDIAN(ABS(B55:B84-H84))</f>
        <v/>
      </c>
      <c r="J84" s="15">
        <f>IF(I84=0,"",0.6745*(B84-H84)/I84)</f>
        <v/>
      </c>
      <c r="K84" s="13">
        <f>0.2*B84+0.8*K83</f>
        <v/>
      </c>
      <c r="L84" s="13">
        <f>C84+3*D84*SQRT(0.2/(2-0.2))</f>
        <v/>
      </c>
      <c r="M84" s="13">
        <f>C84-3*D84*SQRT(0.2/(2-0.2))</f>
        <v/>
      </c>
      <c r="N84" s="13">
        <f>MAX(0,N83+(B84-C84-0.5*D84))</f>
        <v/>
      </c>
      <c r="O84" s="13">
        <f>MIN(0,O83+(B84-C84+0.5*D84))</f>
        <v/>
      </c>
      <c r="P84">
        <f>IF(ABS(G84)&gt;1,P83+1,0)</f>
        <v/>
      </c>
      <c r="Q84">
        <f>IFS(OR(ABS(G84)&gt;3,N84&gt;5*D84,ABS(O84)&gt;5*D84,P84&gt;=5),"CRITICAL",OR(ABS(G84)&gt;2,P84&gt;=3,ABS(J84)&gt;3.5),"EARLY WARNING",ABS(G84)&gt;1,"WATCH",TRUE,"NORMAL")</f>
        <v/>
      </c>
    </row>
    <row r="85">
      <c r="A85" s="12" t="n">
        <v>45110</v>
      </c>
      <c r="B85" s="13">
        <f>Raw_Data!B85</f>
        <v/>
      </c>
      <c r="C85" s="13">
        <f>AVERAGE(B56:B85)</f>
        <v/>
      </c>
      <c r="D85" s="13">
        <f>STDEV.S(B56:B85)</f>
        <v/>
      </c>
      <c r="E85" s="13">
        <f>C85+3*D85</f>
        <v/>
      </c>
      <c r="F85" s="13">
        <f>C85-3*D85</f>
        <v/>
      </c>
      <c r="G85" s="15">
        <f>IF(D85=0,"",(B85-C85)/D85)</f>
        <v/>
      </c>
      <c r="H85" s="13">
        <f>MEDIAN(B56:B85)</f>
        <v/>
      </c>
      <c r="I85" s="13">
        <f>MEDIAN(ABS(B56:B85-H85))</f>
        <v/>
      </c>
      <c r="J85" s="15">
        <f>IF(I85=0,"",0.6745*(B85-H85)/I85)</f>
        <v/>
      </c>
      <c r="K85" s="13">
        <f>0.2*B85+0.8*K84</f>
        <v/>
      </c>
      <c r="L85" s="13">
        <f>C85+3*D85*SQRT(0.2/(2-0.2))</f>
        <v/>
      </c>
      <c r="M85" s="13">
        <f>C85-3*D85*SQRT(0.2/(2-0.2))</f>
        <v/>
      </c>
      <c r="N85" s="13">
        <f>MAX(0,N84+(B85-C85-0.5*D85))</f>
        <v/>
      </c>
      <c r="O85" s="13">
        <f>MIN(0,O84+(B85-C85+0.5*D85))</f>
        <v/>
      </c>
      <c r="P85">
        <f>IF(ABS(G85)&gt;1,P84+1,0)</f>
        <v/>
      </c>
      <c r="Q85">
        <f>IFS(OR(ABS(G85)&gt;3,N85&gt;5*D85,ABS(O85)&gt;5*D85,P85&gt;=5),"CRITICAL",OR(ABS(G85)&gt;2,P85&gt;=3,ABS(J85)&gt;3.5),"EARLY WARNING",ABS(G85)&gt;1,"WATCH",TRUE,"NORMAL")</f>
        <v/>
      </c>
    </row>
    <row r="86">
      <c r="A86" s="12" t="n">
        <v>45111</v>
      </c>
      <c r="B86" s="13">
        <f>Raw_Data!B86</f>
        <v/>
      </c>
      <c r="C86" s="13">
        <f>AVERAGE(B57:B86)</f>
        <v/>
      </c>
      <c r="D86" s="13">
        <f>STDEV.S(B57:B86)</f>
        <v/>
      </c>
      <c r="E86" s="13">
        <f>C86+3*D86</f>
        <v/>
      </c>
      <c r="F86" s="13">
        <f>C86-3*D86</f>
        <v/>
      </c>
      <c r="G86" s="15">
        <f>IF(D86=0,"",(B86-C86)/D86)</f>
        <v/>
      </c>
      <c r="H86" s="13">
        <f>MEDIAN(B57:B86)</f>
        <v/>
      </c>
      <c r="I86" s="13">
        <f>MEDIAN(ABS(B57:B86-H86))</f>
        <v/>
      </c>
      <c r="J86" s="15">
        <f>IF(I86=0,"",0.6745*(B86-H86)/I86)</f>
        <v/>
      </c>
      <c r="K86" s="13">
        <f>0.2*B86+0.8*K85</f>
        <v/>
      </c>
      <c r="L86" s="13">
        <f>C86+3*D86*SQRT(0.2/(2-0.2))</f>
        <v/>
      </c>
      <c r="M86" s="13">
        <f>C86-3*D86*SQRT(0.2/(2-0.2))</f>
        <v/>
      </c>
      <c r="N86" s="13">
        <f>MAX(0,N85+(B86-C86-0.5*D86))</f>
        <v/>
      </c>
      <c r="O86" s="13">
        <f>MIN(0,O85+(B86-C86+0.5*D86))</f>
        <v/>
      </c>
      <c r="P86">
        <f>IF(ABS(G86)&gt;1,P85+1,0)</f>
        <v/>
      </c>
      <c r="Q86">
        <f>IFS(OR(ABS(G86)&gt;3,N86&gt;5*D86,ABS(O86)&gt;5*D86,P86&gt;=5),"CRITICAL",OR(ABS(G86)&gt;2,P86&gt;=3,ABS(J86)&gt;3.5),"EARLY WARNING",ABS(G86)&gt;1,"WATCH",TRUE,"NORMAL")</f>
        <v/>
      </c>
    </row>
    <row r="87">
      <c r="A87" s="12" t="n">
        <v>45112</v>
      </c>
      <c r="B87" s="13">
        <f>Raw_Data!B87</f>
        <v/>
      </c>
      <c r="C87" s="13">
        <f>AVERAGE(B58:B87)</f>
        <v/>
      </c>
      <c r="D87" s="13">
        <f>STDEV.S(B58:B87)</f>
        <v/>
      </c>
      <c r="E87" s="13">
        <f>C87+3*D87</f>
        <v/>
      </c>
      <c r="F87" s="13">
        <f>C87-3*D87</f>
        <v/>
      </c>
      <c r="G87" s="15">
        <f>IF(D87=0,"",(B87-C87)/D87)</f>
        <v/>
      </c>
      <c r="H87" s="13">
        <f>MEDIAN(B58:B87)</f>
        <v/>
      </c>
      <c r="I87" s="13">
        <f>MEDIAN(ABS(B58:B87-H87))</f>
        <v/>
      </c>
      <c r="J87" s="15">
        <f>IF(I87=0,"",0.6745*(B87-H87)/I87)</f>
        <v/>
      </c>
      <c r="K87" s="13">
        <f>0.2*B87+0.8*K86</f>
        <v/>
      </c>
      <c r="L87" s="13">
        <f>C87+3*D87*SQRT(0.2/(2-0.2))</f>
        <v/>
      </c>
      <c r="M87" s="13">
        <f>C87-3*D87*SQRT(0.2/(2-0.2))</f>
        <v/>
      </c>
      <c r="N87" s="13">
        <f>MAX(0,N86+(B87-C87-0.5*D87))</f>
        <v/>
      </c>
      <c r="O87" s="13">
        <f>MIN(0,O86+(B87-C87+0.5*D87))</f>
        <v/>
      </c>
      <c r="P87">
        <f>IF(ABS(G87)&gt;1,P86+1,0)</f>
        <v/>
      </c>
      <c r="Q87">
        <f>IFS(OR(ABS(G87)&gt;3,N87&gt;5*D87,ABS(O87)&gt;5*D87,P87&gt;=5),"CRITICAL",OR(ABS(G87)&gt;2,P87&gt;=3,ABS(J87)&gt;3.5),"EARLY WARNING",ABS(G87)&gt;1,"WATCH",TRUE,"NORMAL")</f>
        <v/>
      </c>
    </row>
    <row r="88">
      <c r="A88" s="12" t="n">
        <v>45113</v>
      </c>
      <c r="B88" s="13">
        <f>Raw_Data!B88</f>
        <v/>
      </c>
      <c r="C88" s="13">
        <f>AVERAGE(B59:B88)</f>
        <v/>
      </c>
      <c r="D88" s="13">
        <f>STDEV.S(B59:B88)</f>
        <v/>
      </c>
      <c r="E88" s="13">
        <f>C88+3*D88</f>
        <v/>
      </c>
      <c r="F88" s="13">
        <f>C88-3*D88</f>
        <v/>
      </c>
      <c r="G88" s="15">
        <f>IF(D88=0,"",(B88-C88)/D88)</f>
        <v/>
      </c>
      <c r="H88" s="13">
        <f>MEDIAN(B59:B88)</f>
        <v/>
      </c>
      <c r="I88" s="13">
        <f>MEDIAN(ABS(B59:B88-H88))</f>
        <v/>
      </c>
      <c r="J88" s="15">
        <f>IF(I88=0,"",0.6745*(B88-H88)/I88)</f>
        <v/>
      </c>
      <c r="K88" s="13">
        <f>0.2*B88+0.8*K87</f>
        <v/>
      </c>
      <c r="L88" s="13">
        <f>C88+3*D88*SQRT(0.2/(2-0.2))</f>
        <v/>
      </c>
      <c r="M88" s="13">
        <f>C88-3*D88*SQRT(0.2/(2-0.2))</f>
        <v/>
      </c>
      <c r="N88" s="13">
        <f>MAX(0,N87+(B88-C88-0.5*D88))</f>
        <v/>
      </c>
      <c r="O88" s="13">
        <f>MIN(0,O87+(B88-C88+0.5*D88))</f>
        <v/>
      </c>
      <c r="P88">
        <f>IF(ABS(G88)&gt;1,P87+1,0)</f>
        <v/>
      </c>
      <c r="Q88">
        <f>IFS(OR(ABS(G88)&gt;3,N88&gt;5*D88,ABS(O88)&gt;5*D88,P88&gt;=5),"CRITICAL",OR(ABS(G88)&gt;2,P88&gt;=3,ABS(J88)&gt;3.5),"EARLY WARNING",ABS(G88)&gt;1,"WATCH",TRUE,"NORMAL")</f>
        <v/>
      </c>
    </row>
    <row r="89">
      <c r="A89" s="12" t="n">
        <v>45114</v>
      </c>
      <c r="B89" s="13">
        <f>Raw_Data!B89</f>
        <v/>
      </c>
      <c r="C89" s="13">
        <f>AVERAGE(B60:B89)</f>
        <v/>
      </c>
      <c r="D89" s="13">
        <f>STDEV.S(B60:B89)</f>
        <v/>
      </c>
      <c r="E89" s="13">
        <f>C89+3*D89</f>
        <v/>
      </c>
      <c r="F89" s="13">
        <f>C89-3*D89</f>
        <v/>
      </c>
      <c r="G89" s="15">
        <f>IF(D89=0,"",(B89-C89)/D89)</f>
        <v/>
      </c>
      <c r="H89" s="13">
        <f>MEDIAN(B60:B89)</f>
        <v/>
      </c>
      <c r="I89" s="13">
        <f>MEDIAN(ABS(B60:B89-H89))</f>
        <v/>
      </c>
      <c r="J89" s="15">
        <f>IF(I89=0,"",0.6745*(B89-H89)/I89)</f>
        <v/>
      </c>
      <c r="K89" s="13">
        <f>0.2*B89+0.8*K88</f>
        <v/>
      </c>
      <c r="L89" s="13">
        <f>C89+3*D89*SQRT(0.2/(2-0.2))</f>
        <v/>
      </c>
      <c r="M89" s="13">
        <f>C89-3*D89*SQRT(0.2/(2-0.2))</f>
        <v/>
      </c>
      <c r="N89" s="13">
        <f>MAX(0,N88+(B89-C89-0.5*D89))</f>
        <v/>
      </c>
      <c r="O89" s="13">
        <f>MIN(0,O88+(B89-C89+0.5*D89))</f>
        <v/>
      </c>
      <c r="P89">
        <f>IF(ABS(G89)&gt;1,P88+1,0)</f>
        <v/>
      </c>
      <c r="Q89">
        <f>IFS(OR(ABS(G89)&gt;3,N89&gt;5*D89,ABS(O89)&gt;5*D89,P89&gt;=5),"CRITICAL",OR(ABS(G89)&gt;2,P89&gt;=3,ABS(J89)&gt;3.5),"EARLY WARNING",ABS(G89)&gt;1,"WATCH",TRUE,"NORMAL")</f>
        <v/>
      </c>
    </row>
    <row r="90">
      <c r="A90" s="12" t="n">
        <v>45115</v>
      </c>
      <c r="B90" s="13">
        <f>Raw_Data!B90</f>
        <v/>
      </c>
      <c r="C90" s="13">
        <f>AVERAGE(B61:B90)</f>
        <v/>
      </c>
      <c r="D90" s="13">
        <f>STDEV.S(B61:B90)</f>
        <v/>
      </c>
      <c r="E90" s="13">
        <f>C90+3*D90</f>
        <v/>
      </c>
      <c r="F90" s="13">
        <f>C90-3*D90</f>
        <v/>
      </c>
      <c r="G90" s="15">
        <f>IF(D90=0,"",(B90-C90)/D90)</f>
        <v/>
      </c>
      <c r="H90" s="13">
        <f>MEDIAN(B61:B90)</f>
        <v/>
      </c>
      <c r="I90" s="13">
        <f>MEDIAN(ABS(B61:B90-H90))</f>
        <v/>
      </c>
      <c r="J90" s="15">
        <f>IF(I90=0,"",0.6745*(B90-H90)/I90)</f>
        <v/>
      </c>
      <c r="K90" s="13">
        <f>0.2*B90+0.8*K89</f>
        <v/>
      </c>
      <c r="L90" s="13">
        <f>C90+3*D90*SQRT(0.2/(2-0.2))</f>
        <v/>
      </c>
      <c r="M90" s="13">
        <f>C90-3*D90*SQRT(0.2/(2-0.2))</f>
        <v/>
      </c>
      <c r="N90" s="13">
        <f>MAX(0,N89+(B90-C90-0.5*D90))</f>
        <v/>
      </c>
      <c r="O90" s="13">
        <f>MIN(0,O89+(B90-C90+0.5*D90))</f>
        <v/>
      </c>
      <c r="P90">
        <f>IF(ABS(G90)&gt;1,P89+1,0)</f>
        <v/>
      </c>
      <c r="Q90">
        <f>IFS(OR(ABS(G90)&gt;3,N90&gt;5*D90,ABS(O90)&gt;5*D90,P90&gt;=5),"CRITICAL",OR(ABS(G90)&gt;2,P90&gt;=3,ABS(J90)&gt;3.5),"EARLY WARNING",ABS(G90)&gt;1,"WATCH",TRUE,"NORMAL")</f>
        <v/>
      </c>
    </row>
    <row r="91">
      <c r="A91" s="12" t="n">
        <v>45116</v>
      </c>
      <c r="B91" s="13">
        <f>Raw_Data!B91</f>
        <v/>
      </c>
      <c r="C91" s="13">
        <f>AVERAGE(B62:B91)</f>
        <v/>
      </c>
      <c r="D91" s="13">
        <f>STDEV.S(B62:B91)</f>
        <v/>
      </c>
      <c r="E91" s="13">
        <f>C91+3*D91</f>
        <v/>
      </c>
      <c r="F91" s="13">
        <f>C91-3*D91</f>
        <v/>
      </c>
      <c r="G91" s="15">
        <f>IF(D91=0,"",(B91-C91)/D91)</f>
        <v/>
      </c>
      <c r="H91" s="13">
        <f>MEDIAN(B62:B91)</f>
        <v/>
      </c>
      <c r="I91" s="13">
        <f>MEDIAN(ABS(B62:B91-H91))</f>
        <v/>
      </c>
      <c r="J91" s="15">
        <f>IF(I91=0,"",0.6745*(B91-H91)/I91)</f>
        <v/>
      </c>
      <c r="K91" s="13">
        <f>0.2*B91+0.8*K90</f>
        <v/>
      </c>
      <c r="L91" s="13">
        <f>C91+3*D91*SQRT(0.2/(2-0.2))</f>
        <v/>
      </c>
      <c r="M91" s="13">
        <f>C91-3*D91*SQRT(0.2/(2-0.2))</f>
        <v/>
      </c>
      <c r="N91" s="13">
        <f>MAX(0,N90+(B91-C91-0.5*D91))</f>
        <v/>
      </c>
      <c r="O91" s="13">
        <f>MIN(0,O90+(B91-C91+0.5*D91))</f>
        <v/>
      </c>
      <c r="P91">
        <f>IF(ABS(G91)&gt;1,P90+1,0)</f>
        <v/>
      </c>
      <c r="Q91">
        <f>IFS(OR(ABS(G91)&gt;3,N91&gt;5*D91,ABS(O91)&gt;5*D91,P91&gt;=5),"CRITICAL",OR(ABS(G91)&gt;2,P91&gt;=3,ABS(J91)&gt;3.5),"EARLY WARNING",ABS(G91)&gt;1,"WATCH",TRUE,"NORMAL")</f>
        <v/>
      </c>
    </row>
    <row r="92">
      <c r="A92" s="12" t="n">
        <v>45117</v>
      </c>
      <c r="B92" s="13">
        <f>Raw_Data!B92</f>
        <v/>
      </c>
      <c r="C92" s="13">
        <f>AVERAGE(B63:B92)</f>
        <v/>
      </c>
      <c r="D92" s="13">
        <f>STDEV.S(B63:B92)</f>
        <v/>
      </c>
      <c r="E92" s="13">
        <f>C92+3*D92</f>
        <v/>
      </c>
      <c r="F92" s="13">
        <f>C92-3*D92</f>
        <v/>
      </c>
      <c r="G92" s="15">
        <f>IF(D92=0,"",(B92-C92)/D92)</f>
        <v/>
      </c>
      <c r="H92" s="13">
        <f>MEDIAN(B63:B92)</f>
        <v/>
      </c>
      <c r="I92" s="13">
        <f>MEDIAN(ABS(B63:B92-H92))</f>
        <v/>
      </c>
      <c r="J92" s="15">
        <f>IF(I92=0,"",0.6745*(B92-H92)/I92)</f>
        <v/>
      </c>
      <c r="K92" s="13">
        <f>0.2*B92+0.8*K91</f>
        <v/>
      </c>
      <c r="L92" s="13">
        <f>C92+3*D92*SQRT(0.2/(2-0.2))</f>
        <v/>
      </c>
      <c r="M92" s="13">
        <f>C92-3*D92*SQRT(0.2/(2-0.2))</f>
        <v/>
      </c>
      <c r="N92" s="13">
        <f>MAX(0,N91+(B92-C92-0.5*D92))</f>
        <v/>
      </c>
      <c r="O92" s="13">
        <f>MIN(0,O91+(B92-C92+0.5*D92))</f>
        <v/>
      </c>
      <c r="P92">
        <f>IF(ABS(G92)&gt;1,P91+1,0)</f>
        <v/>
      </c>
      <c r="Q92">
        <f>IFS(OR(ABS(G92)&gt;3,N92&gt;5*D92,ABS(O92)&gt;5*D92,P92&gt;=5),"CRITICAL",OR(ABS(G92)&gt;2,P92&gt;=3,ABS(J92)&gt;3.5),"EARLY WARNING",ABS(G92)&gt;1,"WATCH",TRUE,"NORMAL")</f>
        <v/>
      </c>
    </row>
    <row r="93">
      <c r="A93" s="12" t="n">
        <v>45118</v>
      </c>
      <c r="B93" s="13">
        <f>Raw_Data!B93</f>
        <v/>
      </c>
      <c r="C93" s="13">
        <f>AVERAGE(B64:B93)</f>
        <v/>
      </c>
      <c r="D93" s="13">
        <f>STDEV.S(B64:B93)</f>
        <v/>
      </c>
      <c r="E93" s="13">
        <f>C93+3*D93</f>
        <v/>
      </c>
      <c r="F93" s="13">
        <f>C93-3*D93</f>
        <v/>
      </c>
      <c r="G93" s="15">
        <f>IF(D93=0,"",(B93-C93)/D93)</f>
        <v/>
      </c>
      <c r="H93" s="13">
        <f>MEDIAN(B64:B93)</f>
        <v/>
      </c>
      <c r="I93" s="13">
        <f>MEDIAN(ABS(B64:B93-H93))</f>
        <v/>
      </c>
      <c r="J93" s="15">
        <f>IF(I93=0,"",0.6745*(B93-H93)/I93)</f>
        <v/>
      </c>
      <c r="K93" s="13">
        <f>0.2*B93+0.8*K92</f>
        <v/>
      </c>
      <c r="L93" s="13">
        <f>C93+3*D93*SQRT(0.2/(2-0.2))</f>
        <v/>
      </c>
      <c r="M93" s="13">
        <f>C93-3*D93*SQRT(0.2/(2-0.2))</f>
        <v/>
      </c>
      <c r="N93" s="13">
        <f>MAX(0,N92+(B93-C93-0.5*D93))</f>
        <v/>
      </c>
      <c r="O93" s="13">
        <f>MIN(0,O92+(B93-C93+0.5*D93))</f>
        <v/>
      </c>
      <c r="P93">
        <f>IF(ABS(G93)&gt;1,P92+1,0)</f>
        <v/>
      </c>
      <c r="Q93">
        <f>IFS(OR(ABS(G93)&gt;3,N93&gt;5*D93,ABS(O93)&gt;5*D93,P93&gt;=5),"CRITICAL",OR(ABS(G93)&gt;2,P93&gt;=3,ABS(J93)&gt;3.5),"EARLY WARNING",ABS(G93)&gt;1,"WATCH",TRUE,"NORMAL")</f>
        <v/>
      </c>
    </row>
    <row r="94">
      <c r="A94" s="12" t="n">
        <v>45119</v>
      </c>
      <c r="B94" s="13">
        <f>Raw_Data!B94</f>
        <v/>
      </c>
      <c r="C94" s="13">
        <f>AVERAGE(B65:B94)</f>
        <v/>
      </c>
      <c r="D94" s="13">
        <f>STDEV.S(B65:B94)</f>
        <v/>
      </c>
      <c r="E94" s="13">
        <f>C94+3*D94</f>
        <v/>
      </c>
      <c r="F94" s="13">
        <f>C94-3*D94</f>
        <v/>
      </c>
      <c r="G94" s="15">
        <f>IF(D94=0,"",(B94-C94)/D94)</f>
        <v/>
      </c>
      <c r="H94" s="13">
        <f>MEDIAN(B65:B94)</f>
        <v/>
      </c>
      <c r="I94" s="13">
        <f>MEDIAN(ABS(B65:B94-H94))</f>
        <v/>
      </c>
      <c r="J94" s="15">
        <f>IF(I94=0,"",0.6745*(B94-H94)/I94)</f>
        <v/>
      </c>
      <c r="K94" s="13">
        <f>0.2*B94+0.8*K93</f>
        <v/>
      </c>
      <c r="L94" s="13">
        <f>C94+3*D94*SQRT(0.2/(2-0.2))</f>
        <v/>
      </c>
      <c r="M94" s="13">
        <f>C94-3*D94*SQRT(0.2/(2-0.2))</f>
        <v/>
      </c>
      <c r="N94" s="13">
        <f>MAX(0,N93+(B94-C94-0.5*D94))</f>
        <v/>
      </c>
      <c r="O94" s="13">
        <f>MIN(0,O93+(B94-C94+0.5*D94))</f>
        <v/>
      </c>
      <c r="P94">
        <f>IF(ABS(G94)&gt;1,P93+1,0)</f>
        <v/>
      </c>
      <c r="Q94">
        <f>IFS(OR(ABS(G94)&gt;3,N94&gt;5*D94,ABS(O94)&gt;5*D94,P94&gt;=5),"CRITICAL",OR(ABS(G94)&gt;2,P94&gt;=3,ABS(J94)&gt;3.5),"EARLY WARNING",ABS(G94)&gt;1,"WATCH",TRUE,"NORMAL")</f>
        <v/>
      </c>
    </row>
    <row r="95">
      <c r="A95" s="12" t="n">
        <v>45120</v>
      </c>
      <c r="B95" s="13">
        <f>Raw_Data!B95</f>
        <v/>
      </c>
      <c r="C95" s="13">
        <f>AVERAGE(B66:B95)</f>
        <v/>
      </c>
      <c r="D95" s="13">
        <f>STDEV.S(B66:B95)</f>
        <v/>
      </c>
      <c r="E95" s="13">
        <f>C95+3*D95</f>
        <v/>
      </c>
      <c r="F95" s="13">
        <f>C95-3*D95</f>
        <v/>
      </c>
      <c r="G95" s="15">
        <f>IF(D95=0,"",(B95-C95)/D95)</f>
        <v/>
      </c>
      <c r="H95" s="13">
        <f>MEDIAN(B66:B95)</f>
        <v/>
      </c>
      <c r="I95" s="13">
        <f>MEDIAN(ABS(B66:B95-H95))</f>
        <v/>
      </c>
      <c r="J95" s="15">
        <f>IF(I95=0,"",0.6745*(B95-H95)/I95)</f>
        <v/>
      </c>
      <c r="K95" s="13">
        <f>0.2*B95+0.8*K94</f>
        <v/>
      </c>
      <c r="L95" s="13">
        <f>C95+3*D95*SQRT(0.2/(2-0.2))</f>
        <v/>
      </c>
      <c r="M95" s="13">
        <f>C95-3*D95*SQRT(0.2/(2-0.2))</f>
        <v/>
      </c>
      <c r="N95" s="13">
        <f>MAX(0,N94+(B95-C95-0.5*D95))</f>
        <v/>
      </c>
      <c r="O95" s="13">
        <f>MIN(0,O94+(B95-C95+0.5*D95))</f>
        <v/>
      </c>
      <c r="P95">
        <f>IF(ABS(G95)&gt;1,P94+1,0)</f>
        <v/>
      </c>
      <c r="Q95">
        <f>IFS(OR(ABS(G95)&gt;3,N95&gt;5*D95,ABS(O95)&gt;5*D95,P95&gt;=5),"CRITICAL",OR(ABS(G95)&gt;2,P95&gt;=3,ABS(J95)&gt;3.5),"EARLY WARNING",ABS(G95)&gt;1,"WATCH",TRUE,"NORMAL")</f>
        <v/>
      </c>
    </row>
    <row r="96">
      <c r="A96" s="12" t="n">
        <v>45121</v>
      </c>
      <c r="B96" s="13">
        <f>Raw_Data!B96</f>
        <v/>
      </c>
      <c r="C96" s="13">
        <f>AVERAGE(B67:B96)</f>
        <v/>
      </c>
      <c r="D96" s="13">
        <f>STDEV.S(B67:B96)</f>
        <v/>
      </c>
      <c r="E96" s="13">
        <f>C96+3*D96</f>
        <v/>
      </c>
      <c r="F96" s="13">
        <f>C96-3*D96</f>
        <v/>
      </c>
      <c r="G96" s="15">
        <f>IF(D96=0,"",(B96-C96)/D96)</f>
        <v/>
      </c>
      <c r="H96" s="13">
        <f>MEDIAN(B67:B96)</f>
        <v/>
      </c>
      <c r="I96" s="13">
        <f>MEDIAN(ABS(B67:B96-H96))</f>
        <v/>
      </c>
      <c r="J96" s="15">
        <f>IF(I96=0,"",0.6745*(B96-H96)/I96)</f>
        <v/>
      </c>
      <c r="K96" s="13">
        <f>0.2*B96+0.8*K95</f>
        <v/>
      </c>
      <c r="L96" s="13">
        <f>C96+3*D96*SQRT(0.2/(2-0.2))</f>
        <v/>
      </c>
      <c r="M96" s="13">
        <f>C96-3*D96*SQRT(0.2/(2-0.2))</f>
        <v/>
      </c>
      <c r="N96" s="13">
        <f>MAX(0,N95+(B96-C96-0.5*D96))</f>
        <v/>
      </c>
      <c r="O96" s="13">
        <f>MIN(0,O95+(B96-C96+0.5*D96))</f>
        <v/>
      </c>
      <c r="P96">
        <f>IF(ABS(G96)&gt;1,P95+1,0)</f>
        <v/>
      </c>
      <c r="Q96">
        <f>IFS(OR(ABS(G96)&gt;3,N96&gt;5*D96,ABS(O96)&gt;5*D96,P96&gt;=5),"CRITICAL",OR(ABS(G96)&gt;2,P96&gt;=3,ABS(J96)&gt;3.5),"EARLY WARNING",ABS(G96)&gt;1,"WATCH",TRUE,"NORMAL")</f>
        <v/>
      </c>
    </row>
    <row r="97">
      <c r="A97" s="12" t="n">
        <v>45122</v>
      </c>
      <c r="B97" s="13">
        <f>Raw_Data!B97</f>
        <v/>
      </c>
      <c r="C97" s="13">
        <f>AVERAGE(B68:B97)</f>
        <v/>
      </c>
      <c r="D97" s="13">
        <f>STDEV.S(B68:B97)</f>
        <v/>
      </c>
      <c r="E97" s="13">
        <f>C97+3*D97</f>
        <v/>
      </c>
      <c r="F97" s="13">
        <f>C97-3*D97</f>
        <v/>
      </c>
      <c r="G97" s="15">
        <f>IF(D97=0,"",(B97-C97)/D97)</f>
        <v/>
      </c>
      <c r="H97" s="13">
        <f>MEDIAN(B68:B97)</f>
        <v/>
      </c>
      <c r="I97" s="13">
        <f>MEDIAN(ABS(B68:B97-H97))</f>
        <v/>
      </c>
      <c r="J97" s="15">
        <f>IF(I97=0,"",0.6745*(B97-H97)/I97)</f>
        <v/>
      </c>
      <c r="K97" s="13">
        <f>0.2*B97+0.8*K96</f>
        <v/>
      </c>
      <c r="L97" s="13">
        <f>C97+3*D97*SQRT(0.2/(2-0.2))</f>
        <v/>
      </c>
      <c r="M97" s="13">
        <f>C97-3*D97*SQRT(0.2/(2-0.2))</f>
        <v/>
      </c>
      <c r="N97" s="13">
        <f>MAX(0,N96+(B97-C97-0.5*D97))</f>
        <v/>
      </c>
      <c r="O97" s="13">
        <f>MIN(0,O96+(B97-C97+0.5*D97))</f>
        <v/>
      </c>
      <c r="P97">
        <f>IF(ABS(G97)&gt;1,P96+1,0)</f>
        <v/>
      </c>
      <c r="Q97">
        <f>IFS(OR(ABS(G97)&gt;3,N97&gt;5*D97,ABS(O97)&gt;5*D97,P97&gt;=5),"CRITICAL",OR(ABS(G97)&gt;2,P97&gt;=3,ABS(J97)&gt;3.5),"EARLY WARNING",ABS(G97)&gt;1,"WATCH",TRUE,"NORMAL")</f>
        <v/>
      </c>
    </row>
    <row r="98">
      <c r="A98" s="12" t="n">
        <v>45123</v>
      </c>
      <c r="B98" s="13">
        <f>Raw_Data!B98</f>
        <v/>
      </c>
      <c r="C98" s="13">
        <f>AVERAGE(B69:B98)</f>
        <v/>
      </c>
      <c r="D98" s="13">
        <f>STDEV.S(B69:B98)</f>
        <v/>
      </c>
      <c r="E98" s="13">
        <f>C98+3*D98</f>
        <v/>
      </c>
      <c r="F98" s="13">
        <f>C98-3*D98</f>
        <v/>
      </c>
      <c r="G98" s="15">
        <f>IF(D98=0,"",(B98-C98)/D98)</f>
        <v/>
      </c>
      <c r="H98" s="13">
        <f>MEDIAN(B69:B98)</f>
        <v/>
      </c>
      <c r="I98" s="13">
        <f>MEDIAN(ABS(B69:B98-H98))</f>
        <v/>
      </c>
      <c r="J98" s="15">
        <f>IF(I98=0,"",0.6745*(B98-H98)/I98)</f>
        <v/>
      </c>
      <c r="K98" s="13">
        <f>0.2*B98+0.8*K97</f>
        <v/>
      </c>
      <c r="L98" s="13">
        <f>C98+3*D98*SQRT(0.2/(2-0.2))</f>
        <v/>
      </c>
      <c r="M98" s="13">
        <f>C98-3*D98*SQRT(0.2/(2-0.2))</f>
        <v/>
      </c>
      <c r="N98" s="13">
        <f>MAX(0,N97+(B98-C98-0.5*D98))</f>
        <v/>
      </c>
      <c r="O98" s="13">
        <f>MIN(0,O97+(B98-C98+0.5*D98))</f>
        <v/>
      </c>
      <c r="P98">
        <f>IF(ABS(G98)&gt;1,P97+1,0)</f>
        <v/>
      </c>
      <c r="Q98">
        <f>IFS(OR(ABS(G98)&gt;3,N98&gt;5*D98,ABS(O98)&gt;5*D98,P98&gt;=5),"CRITICAL",OR(ABS(G98)&gt;2,P98&gt;=3,ABS(J98)&gt;3.5),"EARLY WARNING",ABS(G98)&gt;1,"WATCH",TRUE,"NORMAL")</f>
        <v/>
      </c>
    </row>
    <row r="99">
      <c r="A99" s="12" t="n">
        <v>45124</v>
      </c>
      <c r="B99" s="13">
        <f>Raw_Data!B99</f>
        <v/>
      </c>
      <c r="C99" s="13">
        <f>AVERAGE(B70:B99)</f>
        <v/>
      </c>
      <c r="D99" s="13">
        <f>STDEV.S(B70:B99)</f>
        <v/>
      </c>
      <c r="E99" s="13">
        <f>C99+3*D99</f>
        <v/>
      </c>
      <c r="F99" s="13">
        <f>C99-3*D99</f>
        <v/>
      </c>
      <c r="G99" s="15">
        <f>IF(D99=0,"",(B99-C99)/D99)</f>
        <v/>
      </c>
      <c r="H99" s="13">
        <f>MEDIAN(B70:B99)</f>
        <v/>
      </c>
      <c r="I99" s="13">
        <f>MEDIAN(ABS(B70:B99-H99))</f>
        <v/>
      </c>
      <c r="J99" s="15">
        <f>IF(I99=0,"",0.6745*(B99-H99)/I99)</f>
        <v/>
      </c>
      <c r="K99" s="13">
        <f>0.2*B99+0.8*K98</f>
        <v/>
      </c>
      <c r="L99" s="13">
        <f>C99+3*D99*SQRT(0.2/(2-0.2))</f>
        <v/>
      </c>
      <c r="M99" s="13">
        <f>C99-3*D99*SQRT(0.2/(2-0.2))</f>
        <v/>
      </c>
      <c r="N99" s="13">
        <f>MAX(0,N98+(B99-C99-0.5*D99))</f>
        <v/>
      </c>
      <c r="O99" s="13">
        <f>MIN(0,O98+(B99-C99+0.5*D99))</f>
        <v/>
      </c>
      <c r="P99">
        <f>IF(ABS(G99)&gt;1,P98+1,0)</f>
        <v/>
      </c>
      <c r="Q99">
        <f>IFS(OR(ABS(G99)&gt;3,N99&gt;5*D99,ABS(O99)&gt;5*D99,P99&gt;=5),"CRITICAL",OR(ABS(G99)&gt;2,P99&gt;=3,ABS(J99)&gt;3.5),"EARLY WARNING",ABS(G99)&gt;1,"WATCH",TRUE,"NORMAL")</f>
        <v/>
      </c>
    </row>
    <row r="100">
      <c r="A100" s="12" t="n">
        <v>45125</v>
      </c>
      <c r="B100" s="13">
        <f>Raw_Data!B100</f>
        <v/>
      </c>
      <c r="C100" s="13">
        <f>AVERAGE(B71:B100)</f>
        <v/>
      </c>
      <c r="D100" s="13">
        <f>STDEV.S(B71:B100)</f>
        <v/>
      </c>
      <c r="E100" s="13">
        <f>C100+3*D100</f>
        <v/>
      </c>
      <c r="F100" s="13">
        <f>C100-3*D100</f>
        <v/>
      </c>
      <c r="G100" s="15">
        <f>IF(D100=0,"",(B100-C100)/D100)</f>
        <v/>
      </c>
      <c r="H100" s="13">
        <f>MEDIAN(B71:B100)</f>
        <v/>
      </c>
      <c r="I100" s="13">
        <f>MEDIAN(ABS(B71:B100-H100))</f>
        <v/>
      </c>
      <c r="J100" s="15">
        <f>IF(I100=0,"",0.6745*(B100-H100)/I100)</f>
        <v/>
      </c>
      <c r="K100" s="13">
        <f>0.2*B100+0.8*K99</f>
        <v/>
      </c>
      <c r="L100" s="13">
        <f>C100+3*D100*SQRT(0.2/(2-0.2))</f>
        <v/>
      </c>
      <c r="M100" s="13">
        <f>C100-3*D100*SQRT(0.2/(2-0.2))</f>
        <v/>
      </c>
      <c r="N100" s="13">
        <f>MAX(0,N99+(B100-C100-0.5*D100))</f>
        <v/>
      </c>
      <c r="O100" s="13">
        <f>MIN(0,O99+(B100-C100+0.5*D100))</f>
        <v/>
      </c>
      <c r="P100">
        <f>IF(ABS(G100)&gt;1,P99+1,0)</f>
        <v/>
      </c>
      <c r="Q100">
        <f>IFS(OR(ABS(G100)&gt;3,N100&gt;5*D100,ABS(O100)&gt;5*D100,P100&gt;=5),"CRITICAL",OR(ABS(G100)&gt;2,P100&gt;=3,ABS(J100)&gt;3.5),"EARLY WARNING",ABS(G100)&gt;1,"WATCH",TRUE,"NORMAL")</f>
        <v/>
      </c>
    </row>
    <row r="101">
      <c r="A101" s="12" t="n">
        <v>45126</v>
      </c>
      <c r="B101" s="13">
        <f>Raw_Data!B101</f>
        <v/>
      </c>
      <c r="C101" s="13">
        <f>AVERAGE(B72:B101)</f>
        <v/>
      </c>
      <c r="D101" s="13">
        <f>STDEV.S(B72:B101)</f>
        <v/>
      </c>
      <c r="E101" s="13">
        <f>C101+3*D101</f>
        <v/>
      </c>
      <c r="F101" s="13">
        <f>C101-3*D101</f>
        <v/>
      </c>
      <c r="G101" s="15">
        <f>IF(D101=0,"",(B101-C101)/D101)</f>
        <v/>
      </c>
      <c r="H101" s="13">
        <f>MEDIAN(B72:B101)</f>
        <v/>
      </c>
      <c r="I101" s="13">
        <f>MEDIAN(ABS(B72:B101-H101))</f>
        <v/>
      </c>
      <c r="J101" s="15">
        <f>IF(I101=0,"",0.6745*(B101-H101)/I101)</f>
        <v/>
      </c>
      <c r="K101" s="13">
        <f>0.2*B101+0.8*K100</f>
        <v/>
      </c>
      <c r="L101" s="13">
        <f>C101+3*D101*SQRT(0.2/(2-0.2))</f>
        <v/>
      </c>
      <c r="M101" s="13">
        <f>C101-3*D101*SQRT(0.2/(2-0.2))</f>
        <v/>
      </c>
      <c r="N101" s="13">
        <f>MAX(0,N100+(B101-C101-0.5*D101))</f>
        <v/>
      </c>
      <c r="O101" s="13">
        <f>MIN(0,O100+(B101-C101+0.5*D101))</f>
        <v/>
      </c>
      <c r="P101">
        <f>IF(ABS(G101)&gt;1,P100+1,0)</f>
        <v/>
      </c>
      <c r="Q101">
        <f>IFS(OR(ABS(G101)&gt;3,N101&gt;5*D101,ABS(O101)&gt;5*D101,P101&gt;=5),"CRITICAL",OR(ABS(G101)&gt;2,P101&gt;=3,ABS(J101)&gt;3.5),"EARLY WARNING",ABS(G101)&gt;1,"WATCH",TRUE,"NORMAL")</f>
        <v/>
      </c>
    </row>
    <row r="102">
      <c r="A102" s="12" t="n">
        <v>45127</v>
      </c>
      <c r="B102" s="13">
        <f>Raw_Data!B102</f>
        <v/>
      </c>
      <c r="C102" s="13">
        <f>AVERAGE(B73:B102)</f>
        <v/>
      </c>
      <c r="D102" s="13">
        <f>STDEV.S(B73:B102)</f>
        <v/>
      </c>
      <c r="E102" s="13">
        <f>C102+3*D102</f>
        <v/>
      </c>
      <c r="F102" s="13">
        <f>C102-3*D102</f>
        <v/>
      </c>
      <c r="G102" s="15">
        <f>IF(D102=0,"",(B102-C102)/D102)</f>
        <v/>
      </c>
      <c r="H102" s="13">
        <f>MEDIAN(B73:B102)</f>
        <v/>
      </c>
      <c r="I102" s="13">
        <f>MEDIAN(ABS(B73:B102-H102))</f>
        <v/>
      </c>
      <c r="J102" s="15">
        <f>IF(I102=0,"",0.6745*(B102-H102)/I102)</f>
        <v/>
      </c>
      <c r="K102" s="13">
        <f>0.2*B102+0.8*K101</f>
        <v/>
      </c>
      <c r="L102" s="13">
        <f>C102+3*D102*SQRT(0.2/(2-0.2))</f>
        <v/>
      </c>
      <c r="M102" s="13">
        <f>C102-3*D102*SQRT(0.2/(2-0.2))</f>
        <v/>
      </c>
      <c r="N102" s="13">
        <f>MAX(0,N101+(B102-C102-0.5*D102))</f>
        <v/>
      </c>
      <c r="O102" s="13">
        <f>MIN(0,O101+(B102-C102+0.5*D102))</f>
        <v/>
      </c>
      <c r="P102">
        <f>IF(ABS(G102)&gt;1,P101+1,0)</f>
        <v/>
      </c>
      <c r="Q102">
        <f>IFS(OR(ABS(G102)&gt;3,N102&gt;5*D102,ABS(O102)&gt;5*D102,P102&gt;=5),"CRITICAL",OR(ABS(G102)&gt;2,P102&gt;=3,ABS(J102)&gt;3.5),"EARLY WARNING",ABS(G102)&gt;1,"WATCH",TRUE,"NORMAL")</f>
        <v/>
      </c>
    </row>
    <row r="103">
      <c r="A103" s="12" t="n">
        <v>45128</v>
      </c>
      <c r="B103" s="13">
        <f>Raw_Data!B103</f>
        <v/>
      </c>
      <c r="C103" s="13">
        <f>AVERAGE(B74:B103)</f>
        <v/>
      </c>
      <c r="D103" s="13">
        <f>STDEV.S(B74:B103)</f>
        <v/>
      </c>
      <c r="E103" s="13">
        <f>C103+3*D103</f>
        <v/>
      </c>
      <c r="F103" s="13">
        <f>C103-3*D103</f>
        <v/>
      </c>
      <c r="G103" s="15">
        <f>IF(D103=0,"",(B103-C103)/D103)</f>
        <v/>
      </c>
      <c r="H103" s="13">
        <f>MEDIAN(B74:B103)</f>
        <v/>
      </c>
      <c r="I103" s="13">
        <f>MEDIAN(ABS(B74:B103-H103))</f>
        <v/>
      </c>
      <c r="J103" s="15">
        <f>IF(I103=0,"",0.6745*(B103-H103)/I103)</f>
        <v/>
      </c>
      <c r="K103" s="13">
        <f>0.2*B103+0.8*K102</f>
        <v/>
      </c>
      <c r="L103" s="13">
        <f>C103+3*D103*SQRT(0.2/(2-0.2))</f>
        <v/>
      </c>
      <c r="M103" s="13">
        <f>C103-3*D103*SQRT(0.2/(2-0.2))</f>
        <v/>
      </c>
      <c r="N103" s="13">
        <f>MAX(0,N102+(B103-C103-0.5*D103))</f>
        <v/>
      </c>
      <c r="O103" s="13">
        <f>MIN(0,O102+(B103-C103+0.5*D103))</f>
        <v/>
      </c>
      <c r="P103">
        <f>IF(ABS(G103)&gt;1,P102+1,0)</f>
        <v/>
      </c>
      <c r="Q103">
        <f>IFS(OR(ABS(G103)&gt;3,N103&gt;5*D103,ABS(O103)&gt;5*D103,P103&gt;=5),"CRITICAL",OR(ABS(G103)&gt;2,P103&gt;=3,ABS(J103)&gt;3.5),"EARLY WARNING",ABS(G103)&gt;1,"WATCH",TRUE,"NORMAL")</f>
        <v/>
      </c>
    </row>
    <row r="104">
      <c r="A104" s="12" t="n">
        <v>45129</v>
      </c>
      <c r="B104" s="13">
        <f>Raw_Data!B104</f>
        <v/>
      </c>
      <c r="C104" s="13">
        <f>AVERAGE(B75:B104)</f>
        <v/>
      </c>
      <c r="D104" s="13">
        <f>STDEV.S(B75:B104)</f>
        <v/>
      </c>
      <c r="E104" s="13">
        <f>C104+3*D104</f>
        <v/>
      </c>
      <c r="F104" s="13">
        <f>C104-3*D104</f>
        <v/>
      </c>
      <c r="G104" s="15">
        <f>IF(D104=0,"",(B104-C104)/D104)</f>
        <v/>
      </c>
      <c r="H104" s="13">
        <f>MEDIAN(B75:B104)</f>
        <v/>
      </c>
      <c r="I104" s="13">
        <f>MEDIAN(ABS(B75:B104-H104))</f>
        <v/>
      </c>
      <c r="J104" s="15">
        <f>IF(I104=0,"",0.6745*(B104-H104)/I104)</f>
        <v/>
      </c>
      <c r="K104" s="13">
        <f>0.2*B104+0.8*K103</f>
        <v/>
      </c>
      <c r="L104" s="13">
        <f>C104+3*D104*SQRT(0.2/(2-0.2))</f>
        <v/>
      </c>
      <c r="M104" s="13">
        <f>C104-3*D104*SQRT(0.2/(2-0.2))</f>
        <v/>
      </c>
      <c r="N104" s="13">
        <f>MAX(0,N103+(B104-C104-0.5*D104))</f>
        <v/>
      </c>
      <c r="O104" s="13">
        <f>MIN(0,O103+(B104-C104+0.5*D104))</f>
        <v/>
      </c>
      <c r="P104">
        <f>IF(ABS(G104)&gt;1,P103+1,0)</f>
        <v/>
      </c>
      <c r="Q104">
        <f>IFS(OR(ABS(G104)&gt;3,N104&gt;5*D104,ABS(O104)&gt;5*D104,P104&gt;=5),"CRITICAL",OR(ABS(G104)&gt;2,P104&gt;=3,ABS(J104)&gt;3.5),"EARLY WARNING",ABS(G104)&gt;1,"WATCH",TRUE,"NORMAL")</f>
        <v/>
      </c>
    </row>
    <row r="105">
      <c r="A105" s="12" t="n">
        <v>45130</v>
      </c>
      <c r="B105" s="13">
        <f>Raw_Data!B105</f>
        <v/>
      </c>
      <c r="C105" s="13">
        <f>AVERAGE(B76:B105)</f>
        <v/>
      </c>
      <c r="D105" s="13">
        <f>STDEV.S(B76:B105)</f>
        <v/>
      </c>
      <c r="E105" s="13">
        <f>C105+3*D105</f>
        <v/>
      </c>
      <c r="F105" s="13">
        <f>C105-3*D105</f>
        <v/>
      </c>
      <c r="G105" s="15">
        <f>IF(D105=0,"",(B105-C105)/D105)</f>
        <v/>
      </c>
      <c r="H105" s="13">
        <f>MEDIAN(B76:B105)</f>
        <v/>
      </c>
      <c r="I105" s="13">
        <f>MEDIAN(ABS(B76:B105-H105))</f>
        <v/>
      </c>
      <c r="J105" s="15">
        <f>IF(I105=0,"",0.6745*(B105-H105)/I105)</f>
        <v/>
      </c>
      <c r="K105" s="13">
        <f>0.2*B105+0.8*K104</f>
        <v/>
      </c>
      <c r="L105" s="13">
        <f>C105+3*D105*SQRT(0.2/(2-0.2))</f>
        <v/>
      </c>
      <c r="M105" s="13">
        <f>C105-3*D105*SQRT(0.2/(2-0.2))</f>
        <v/>
      </c>
      <c r="N105" s="13">
        <f>MAX(0,N104+(B105-C105-0.5*D105))</f>
        <v/>
      </c>
      <c r="O105" s="13">
        <f>MIN(0,O104+(B105-C105+0.5*D105))</f>
        <v/>
      </c>
      <c r="P105">
        <f>IF(ABS(G105)&gt;1,P104+1,0)</f>
        <v/>
      </c>
      <c r="Q105">
        <f>IFS(OR(ABS(G105)&gt;3,N105&gt;5*D105,ABS(O105)&gt;5*D105,P105&gt;=5),"CRITICAL",OR(ABS(G105)&gt;2,P105&gt;=3,ABS(J105)&gt;3.5),"EARLY WARNING",ABS(G105)&gt;1,"WATCH",TRUE,"NORMAL")</f>
        <v/>
      </c>
    </row>
    <row r="106">
      <c r="A106" s="12" t="n">
        <v>45131</v>
      </c>
      <c r="B106" s="13">
        <f>Raw_Data!B106</f>
        <v/>
      </c>
      <c r="C106" s="13">
        <f>AVERAGE(B77:B106)</f>
        <v/>
      </c>
      <c r="D106" s="13">
        <f>STDEV.S(B77:B106)</f>
        <v/>
      </c>
      <c r="E106" s="13">
        <f>C106+3*D106</f>
        <v/>
      </c>
      <c r="F106" s="13">
        <f>C106-3*D106</f>
        <v/>
      </c>
      <c r="G106" s="15">
        <f>IF(D106=0,"",(B106-C106)/D106)</f>
        <v/>
      </c>
      <c r="H106" s="13">
        <f>MEDIAN(B77:B106)</f>
        <v/>
      </c>
      <c r="I106" s="13">
        <f>MEDIAN(ABS(B77:B106-H106))</f>
        <v/>
      </c>
      <c r="J106" s="15">
        <f>IF(I106=0,"",0.6745*(B106-H106)/I106)</f>
        <v/>
      </c>
      <c r="K106" s="13">
        <f>0.2*B106+0.8*K105</f>
        <v/>
      </c>
      <c r="L106" s="13">
        <f>C106+3*D106*SQRT(0.2/(2-0.2))</f>
        <v/>
      </c>
      <c r="M106" s="13">
        <f>C106-3*D106*SQRT(0.2/(2-0.2))</f>
        <v/>
      </c>
      <c r="N106" s="13">
        <f>MAX(0,N105+(B106-C106-0.5*D106))</f>
        <v/>
      </c>
      <c r="O106" s="13">
        <f>MIN(0,O105+(B106-C106+0.5*D106))</f>
        <v/>
      </c>
      <c r="P106">
        <f>IF(ABS(G106)&gt;1,P105+1,0)</f>
        <v/>
      </c>
      <c r="Q106">
        <f>IFS(OR(ABS(G106)&gt;3,N106&gt;5*D106,ABS(O106)&gt;5*D106,P106&gt;=5),"CRITICAL",OR(ABS(G106)&gt;2,P106&gt;=3,ABS(J106)&gt;3.5),"EARLY WARNING",ABS(G106)&gt;1,"WATCH",TRUE,"NORMAL")</f>
        <v/>
      </c>
    </row>
    <row r="107">
      <c r="A107" s="12" t="n">
        <v>45132</v>
      </c>
      <c r="B107" s="13">
        <f>Raw_Data!B107</f>
        <v/>
      </c>
      <c r="C107" s="13">
        <f>AVERAGE(B78:B107)</f>
        <v/>
      </c>
      <c r="D107" s="13">
        <f>STDEV.S(B78:B107)</f>
        <v/>
      </c>
      <c r="E107" s="13">
        <f>C107+3*D107</f>
        <v/>
      </c>
      <c r="F107" s="13">
        <f>C107-3*D107</f>
        <v/>
      </c>
      <c r="G107" s="15">
        <f>IF(D107=0,"",(B107-C107)/D107)</f>
        <v/>
      </c>
      <c r="H107" s="13">
        <f>MEDIAN(B78:B107)</f>
        <v/>
      </c>
      <c r="I107" s="13">
        <f>MEDIAN(ABS(B78:B107-H107))</f>
        <v/>
      </c>
      <c r="J107" s="15">
        <f>IF(I107=0,"",0.6745*(B107-H107)/I107)</f>
        <v/>
      </c>
      <c r="K107" s="13">
        <f>0.2*B107+0.8*K106</f>
        <v/>
      </c>
      <c r="L107" s="13">
        <f>C107+3*D107*SQRT(0.2/(2-0.2))</f>
        <v/>
      </c>
      <c r="M107" s="13">
        <f>C107-3*D107*SQRT(0.2/(2-0.2))</f>
        <v/>
      </c>
      <c r="N107" s="13">
        <f>MAX(0,N106+(B107-C107-0.5*D107))</f>
        <v/>
      </c>
      <c r="O107" s="13">
        <f>MIN(0,O106+(B107-C107+0.5*D107))</f>
        <v/>
      </c>
      <c r="P107">
        <f>IF(ABS(G107)&gt;1,P106+1,0)</f>
        <v/>
      </c>
      <c r="Q107">
        <f>IFS(OR(ABS(G107)&gt;3,N107&gt;5*D107,ABS(O107)&gt;5*D107,P107&gt;=5),"CRITICAL",OR(ABS(G107)&gt;2,P107&gt;=3,ABS(J107)&gt;3.5),"EARLY WARNING",ABS(G107)&gt;1,"WATCH",TRUE,"NORMAL")</f>
        <v/>
      </c>
    </row>
    <row r="108">
      <c r="A108" s="12" t="n">
        <v>45133</v>
      </c>
      <c r="B108" s="13">
        <f>Raw_Data!B108</f>
        <v/>
      </c>
      <c r="C108" s="13">
        <f>AVERAGE(B79:B108)</f>
        <v/>
      </c>
      <c r="D108" s="13">
        <f>STDEV.S(B79:B108)</f>
        <v/>
      </c>
      <c r="E108" s="13">
        <f>C108+3*D108</f>
        <v/>
      </c>
      <c r="F108" s="13">
        <f>C108-3*D108</f>
        <v/>
      </c>
      <c r="G108" s="15">
        <f>IF(D108=0,"",(B108-C108)/D108)</f>
        <v/>
      </c>
      <c r="H108" s="13">
        <f>MEDIAN(B79:B108)</f>
        <v/>
      </c>
      <c r="I108" s="13">
        <f>MEDIAN(ABS(B79:B108-H108))</f>
        <v/>
      </c>
      <c r="J108" s="15">
        <f>IF(I108=0,"",0.6745*(B108-H108)/I108)</f>
        <v/>
      </c>
      <c r="K108" s="13">
        <f>0.2*B108+0.8*K107</f>
        <v/>
      </c>
      <c r="L108" s="13">
        <f>C108+3*D108*SQRT(0.2/(2-0.2))</f>
        <v/>
      </c>
      <c r="M108" s="13">
        <f>C108-3*D108*SQRT(0.2/(2-0.2))</f>
        <v/>
      </c>
      <c r="N108" s="13">
        <f>MAX(0,N107+(B108-C108-0.5*D108))</f>
        <v/>
      </c>
      <c r="O108" s="13">
        <f>MIN(0,O107+(B108-C108+0.5*D108))</f>
        <v/>
      </c>
      <c r="P108">
        <f>IF(ABS(G108)&gt;1,P107+1,0)</f>
        <v/>
      </c>
      <c r="Q108">
        <f>IFS(OR(ABS(G108)&gt;3,N108&gt;5*D108,ABS(O108)&gt;5*D108,P108&gt;=5),"CRITICAL",OR(ABS(G108)&gt;2,P108&gt;=3,ABS(J108)&gt;3.5),"EARLY WARNING",ABS(G108)&gt;1,"WATCH",TRUE,"NORMAL")</f>
        <v/>
      </c>
    </row>
    <row r="109">
      <c r="A109" s="12" t="n">
        <v>45134</v>
      </c>
      <c r="B109" s="13">
        <f>Raw_Data!B109</f>
        <v/>
      </c>
      <c r="C109" s="13">
        <f>AVERAGE(B80:B109)</f>
        <v/>
      </c>
      <c r="D109" s="13">
        <f>STDEV.S(B80:B109)</f>
        <v/>
      </c>
      <c r="E109" s="13">
        <f>C109+3*D109</f>
        <v/>
      </c>
      <c r="F109" s="13">
        <f>C109-3*D109</f>
        <v/>
      </c>
      <c r="G109" s="15">
        <f>IF(D109=0,"",(B109-C109)/D109)</f>
        <v/>
      </c>
      <c r="H109" s="13">
        <f>MEDIAN(B80:B109)</f>
        <v/>
      </c>
      <c r="I109" s="13">
        <f>MEDIAN(ABS(B80:B109-H109))</f>
        <v/>
      </c>
      <c r="J109" s="15">
        <f>IF(I109=0,"",0.6745*(B109-H109)/I109)</f>
        <v/>
      </c>
      <c r="K109" s="13">
        <f>0.2*B109+0.8*K108</f>
        <v/>
      </c>
      <c r="L109" s="13">
        <f>C109+3*D109*SQRT(0.2/(2-0.2))</f>
        <v/>
      </c>
      <c r="M109" s="13">
        <f>C109-3*D109*SQRT(0.2/(2-0.2))</f>
        <v/>
      </c>
      <c r="N109" s="13">
        <f>MAX(0,N108+(B109-C109-0.5*D109))</f>
        <v/>
      </c>
      <c r="O109" s="13">
        <f>MIN(0,O108+(B109-C109+0.5*D109))</f>
        <v/>
      </c>
      <c r="P109">
        <f>IF(ABS(G109)&gt;1,P108+1,0)</f>
        <v/>
      </c>
      <c r="Q109">
        <f>IFS(OR(ABS(G109)&gt;3,N109&gt;5*D109,ABS(O109)&gt;5*D109,P109&gt;=5),"CRITICAL",OR(ABS(G109)&gt;2,P109&gt;=3,ABS(J109)&gt;3.5),"EARLY WARNING",ABS(G109)&gt;1,"WATCH",TRUE,"NORMAL")</f>
        <v/>
      </c>
    </row>
    <row r="110">
      <c r="A110" s="12" t="n">
        <v>45135</v>
      </c>
      <c r="B110" s="13">
        <f>Raw_Data!B110</f>
        <v/>
      </c>
      <c r="C110" s="13">
        <f>AVERAGE(B81:B110)</f>
        <v/>
      </c>
      <c r="D110" s="13">
        <f>STDEV.S(B81:B110)</f>
        <v/>
      </c>
      <c r="E110" s="13">
        <f>C110+3*D110</f>
        <v/>
      </c>
      <c r="F110" s="13">
        <f>C110-3*D110</f>
        <v/>
      </c>
      <c r="G110" s="15">
        <f>IF(D110=0,"",(B110-C110)/D110)</f>
        <v/>
      </c>
      <c r="H110" s="13">
        <f>MEDIAN(B81:B110)</f>
        <v/>
      </c>
      <c r="I110" s="13">
        <f>MEDIAN(ABS(B81:B110-H110))</f>
        <v/>
      </c>
      <c r="J110" s="15">
        <f>IF(I110=0,"",0.6745*(B110-H110)/I110)</f>
        <v/>
      </c>
      <c r="K110" s="13">
        <f>0.2*B110+0.8*K109</f>
        <v/>
      </c>
      <c r="L110" s="13">
        <f>C110+3*D110*SQRT(0.2/(2-0.2))</f>
        <v/>
      </c>
      <c r="M110" s="13">
        <f>C110-3*D110*SQRT(0.2/(2-0.2))</f>
        <v/>
      </c>
      <c r="N110" s="13">
        <f>MAX(0,N109+(B110-C110-0.5*D110))</f>
        <v/>
      </c>
      <c r="O110" s="13">
        <f>MIN(0,O109+(B110-C110+0.5*D110))</f>
        <v/>
      </c>
      <c r="P110">
        <f>IF(ABS(G110)&gt;1,P109+1,0)</f>
        <v/>
      </c>
      <c r="Q110">
        <f>IFS(OR(ABS(G110)&gt;3,N110&gt;5*D110,ABS(O110)&gt;5*D110,P110&gt;=5),"CRITICAL",OR(ABS(G110)&gt;2,P110&gt;=3,ABS(J110)&gt;3.5),"EARLY WARNING",ABS(G110)&gt;1,"WATCH",TRUE,"NORMAL")</f>
        <v/>
      </c>
    </row>
    <row r="111">
      <c r="A111" s="12" t="n">
        <v>45136</v>
      </c>
      <c r="B111" s="13">
        <f>Raw_Data!B111</f>
        <v/>
      </c>
      <c r="C111" s="13">
        <f>AVERAGE(B82:B111)</f>
        <v/>
      </c>
      <c r="D111" s="13">
        <f>STDEV.S(B82:B111)</f>
        <v/>
      </c>
      <c r="E111" s="13">
        <f>C111+3*D111</f>
        <v/>
      </c>
      <c r="F111" s="13">
        <f>C111-3*D111</f>
        <v/>
      </c>
      <c r="G111" s="15">
        <f>IF(D111=0,"",(B111-C111)/D111)</f>
        <v/>
      </c>
      <c r="H111" s="13">
        <f>MEDIAN(B82:B111)</f>
        <v/>
      </c>
      <c r="I111" s="13">
        <f>MEDIAN(ABS(B82:B111-H111))</f>
        <v/>
      </c>
      <c r="J111" s="15">
        <f>IF(I111=0,"",0.6745*(B111-H111)/I111)</f>
        <v/>
      </c>
      <c r="K111" s="13">
        <f>0.2*B111+0.8*K110</f>
        <v/>
      </c>
      <c r="L111" s="13">
        <f>C111+3*D111*SQRT(0.2/(2-0.2))</f>
        <v/>
      </c>
      <c r="M111" s="13">
        <f>C111-3*D111*SQRT(0.2/(2-0.2))</f>
        <v/>
      </c>
      <c r="N111" s="13">
        <f>MAX(0,N110+(B111-C111-0.5*D111))</f>
        <v/>
      </c>
      <c r="O111" s="13">
        <f>MIN(0,O110+(B111-C111+0.5*D111))</f>
        <v/>
      </c>
      <c r="P111">
        <f>IF(ABS(G111)&gt;1,P110+1,0)</f>
        <v/>
      </c>
      <c r="Q111">
        <f>IFS(OR(ABS(G111)&gt;3,N111&gt;5*D111,ABS(O111)&gt;5*D111,P111&gt;=5),"CRITICAL",OR(ABS(G111)&gt;2,P111&gt;=3,ABS(J111)&gt;3.5),"EARLY WARNING",ABS(G111)&gt;1,"WATCH",TRUE,"NORMAL")</f>
        <v/>
      </c>
    </row>
    <row r="112">
      <c r="A112" s="12" t="n">
        <v>45137</v>
      </c>
      <c r="B112" s="13">
        <f>Raw_Data!B112</f>
        <v/>
      </c>
      <c r="C112" s="13">
        <f>AVERAGE(B83:B112)</f>
        <v/>
      </c>
      <c r="D112" s="13">
        <f>STDEV.S(B83:B112)</f>
        <v/>
      </c>
      <c r="E112" s="13">
        <f>C112+3*D112</f>
        <v/>
      </c>
      <c r="F112" s="13">
        <f>C112-3*D112</f>
        <v/>
      </c>
      <c r="G112" s="15">
        <f>IF(D112=0,"",(B112-C112)/D112)</f>
        <v/>
      </c>
      <c r="H112" s="13">
        <f>MEDIAN(B83:B112)</f>
        <v/>
      </c>
      <c r="I112" s="13">
        <f>MEDIAN(ABS(B83:B112-H112))</f>
        <v/>
      </c>
      <c r="J112" s="15">
        <f>IF(I112=0,"",0.6745*(B112-H112)/I112)</f>
        <v/>
      </c>
      <c r="K112" s="13">
        <f>0.2*B112+0.8*K111</f>
        <v/>
      </c>
      <c r="L112" s="13">
        <f>C112+3*D112*SQRT(0.2/(2-0.2))</f>
        <v/>
      </c>
      <c r="M112" s="13">
        <f>C112-3*D112*SQRT(0.2/(2-0.2))</f>
        <v/>
      </c>
      <c r="N112" s="13">
        <f>MAX(0,N111+(B112-C112-0.5*D112))</f>
        <v/>
      </c>
      <c r="O112" s="13">
        <f>MIN(0,O111+(B112-C112+0.5*D112))</f>
        <v/>
      </c>
      <c r="P112">
        <f>IF(ABS(G112)&gt;1,P111+1,0)</f>
        <v/>
      </c>
      <c r="Q112">
        <f>IFS(OR(ABS(G112)&gt;3,N112&gt;5*D112,ABS(O112)&gt;5*D112,P112&gt;=5),"CRITICAL",OR(ABS(G112)&gt;2,P112&gt;=3,ABS(J112)&gt;3.5),"EARLY WARNING",ABS(G112)&gt;1,"WATCH",TRUE,"NORMAL")</f>
        <v/>
      </c>
    </row>
    <row r="113">
      <c r="A113" s="12" t="n">
        <v>45138</v>
      </c>
      <c r="B113" s="13">
        <f>Raw_Data!B113</f>
        <v/>
      </c>
      <c r="C113" s="13">
        <f>AVERAGE(B84:B113)</f>
        <v/>
      </c>
      <c r="D113" s="13">
        <f>STDEV.S(B84:B113)</f>
        <v/>
      </c>
      <c r="E113" s="13">
        <f>C113+3*D113</f>
        <v/>
      </c>
      <c r="F113" s="13">
        <f>C113-3*D113</f>
        <v/>
      </c>
      <c r="G113" s="15">
        <f>IF(D113=0,"",(B113-C113)/D113)</f>
        <v/>
      </c>
      <c r="H113" s="13">
        <f>MEDIAN(B84:B113)</f>
        <v/>
      </c>
      <c r="I113" s="13">
        <f>MEDIAN(ABS(B84:B113-H113))</f>
        <v/>
      </c>
      <c r="J113" s="15">
        <f>IF(I113=0,"",0.6745*(B113-H113)/I113)</f>
        <v/>
      </c>
      <c r="K113" s="13">
        <f>0.2*B113+0.8*K112</f>
        <v/>
      </c>
      <c r="L113" s="13">
        <f>C113+3*D113*SQRT(0.2/(2-0.2))</f>
        <v/>
      </c>
      <c r="M113" s="13">
        <f>C113-3*D113*SQRT(0.2/(2-0.2))</f>
        <v/>
      </c>
      <c r="N113" s="13">
        <f>MAX(0,N112+(B113-C113-0.5*D113))</f>
        <v/>
      </c>
      <c r="O113" s="13">
        <f>MIN(0,O112+(B113-C113+0.5*D113))</f>
        <v/>
      </c>
      <c r="P113">
        <f>IF(ABS(G113)&gt;1,P112+1,0)</f>
        <v/>
      </c>
      <c r="Q113">
        <f>IFS(OR(ABS(G113)&gt;3,N113&gt;5*D113,ABS(O113)&gt;5*D113,P113&gt;=5),"CRITICAL",OR(ABS(G113)&gt;2,P113&gt;=3,ABS(J113)&gt;3.5),"EARLY WARNING",ABS(G113)&gt;1,"WATCH",TRUE,"NORMAL")</f>
        <v/>
      </c>
    </row>
    <row r="114">
      <c r="A114" s="12" t="n">
        <v>45139</v>
      </c>
      <c r="B114" s="13">
        <f>Raw_Data!B114</f>
        <v/>
      </c>
      <c r="C114" s="13">
        <f>AVERAGE(B85:B114)</f>
        <v/>
      </c>
      <c r="D114" s="13">
        <f>STDEV.S(B85:B114)</f>
        <v/>
      </c>
      <c r="E114" s="13">
        <f>C114+3*D114</f>
        <v/>
      </c>
      <c r="F114" s="13">
        <f>C114-3*D114</f>
        <v/>
      </c>
      <c r="G114" s="15">
        <f>IF(D114=0,"",(B114-C114)/D114)</f>
        <v/>
      </c>
      <c r="H114" s="13">
        <f>MEDIAN(B85:B114)</f>
        <v/>
      </c>
      <c r="I114" s="13">
        <f>MEDIAN(ABS(B85:B114-H114))</f>
        <v/>
      </c>
      <c r="J114" s="15">
        <f>IF(I114=0,"",0.6745*(B114-H114)/I114)</f>
        <v/>
      </c>
      <c r="K114" s="13">
        <f>0.2*B114+0.8*K113</f>
        <v/>
      </c>
      <c r="L114" s="13">
        <f>C114+3*D114*SQRT(0.2/(2-0.2))</f>
        <v/>
      </c>
      <c r="M114" s="13">
        <f>C114-3*D114*SQRT(0.2/(2-0.2))</f>
        <v/>
      </c>
      <c r="N114" s="13">
        <f>MAX(0,N113+(B114-C114-0.5*D114))</f>
        <v/>
      </c>
      <c r="O114" s="13">
        <f>MIN(0,O113+(B114-C114+0.5*D114))</f>
        <v/>
      </c>
      <c r="P114">
        <f>IF(ABS(G114)&gt;1,P113+1,0)</f>
        <v/>
      </c>
      <c r="Q114">
        <f>IFS(OR(ABS(G114)&gt;3,N114&gt;5*D114,ABS(O114)&gt;5*D114,P114&gt;=5),"CRITICAL",OR(ABS(G114)&gt;2,P114&gt;=3,ABS(J114)&gt;3.5),"EARLY WARNING",ABS(G114)&gt;1,"WATCH",TRUE,"NORMAL")</f>
        <v/>
      </c>
    </row>
    <row r="115">
      <c r="A115" s="12" t="n">
        <v>45140</v>
      </c>
      <c r="B115" s="13">
        <f>Raw_Data!B115</f>
        <v/>
      </c>
      <c r="C115" s="13">
        <f>AVERAGE(B86:B115)</f>
        <v/>
      </c>
      <c r="D115" s="13">
        <f>STDEV.S(B86:B115)</f>
        <v/>
      </c>
      <c r="E115" s="13">
        <f>C115+3*D115</f>
        <v/>
      </c>
      <c r="F115" s="13">
        <f>C115-3*D115</f>
        <v/>
      </c>
      <c r="G115" s="15">
        <f>IF(D115=0,"",(B115-C115)/D115)</f>
        <v/>
      </c>
      <c r="H115" s="13">
        <f>MEDIAN(B86:B115)</f>
        <v/>
      </c>
      <c r="I115" s="13">
        <f>MEDIAN(ABS(B86:B115-H115))</f>
        <v/>
      </c>
      <c r="J115" s="15">
        <f>IF(I115=0,"",0.6745*(B115-H115)/I115)</f>
        <v/>
      </c>
      <c r="K115" s="13">
        <f>0.2*B115+0.8*K114</f>
        <v/>
      </c>
      <c r="L115" s="13">
        <f>C115+3*D115*SQRT(0.2/(2-0.2))</f>
        <v/>
      </c>
      <c r="M115" s="13">
        <f>C115-3*D115*SQRT(0.2/(2-0.2))</f>
        <v/>
      </c>
      <c r="N115" s="13">
        <f>MAX(0,N114+(B115-C115-0.5*D115))</f>
        <v/>
      </c>
      <c r="O115" s="13">
        <f>MIN(0,O114+(B115-C115+0.5*D115))</f>
        <v/>
      </c>
      <c r="P115">
        <f>IF(ABS(G115)&gt;1,P114+1,0)</f>
        <v/>
      </c>
      <c r="Q115">
        <f>IFS(OR(ABS(G115)&gt;3,N115&gt;5*D115,ABS(O115)&gt;5*D115,P115&gt;=5),"CRITICAL",OR(ABS(G115)&gt;2,P115&gt;=3,ABS(J115)&gt;3.5),"EARLY WARNING",ABS(G115)&gt;1,"WATCH",TRUE,"NORMAL")</f>
        <v/>
      </c>
    </row>
    <row r="116">
      <c r="A116" s="12" t="n">
        <v>45141</v>
      </c>
      <c r="B116" s="13">
        <f>Raw_Data!B116</f>
        <v/>
      </c>
      <c r="C116" s="13">
        <f>AVERAGE(B87:B116)</f>
        <v/>
      </c>
      <c r="D116" s="13">
        <f>STDEV.S(B87:B116)</f>
        <v/>
      </c>
      <c r="E116" s="13">
        <f>C116+3*D116</f>
        <v/>
      </c>
      <c r="F116" s="13">
        <f>C116-3*D116</f>
        <v/>
      </c>
      <c r="G116" s="15">
        <f>IF(D116=0,"",(B116-C116)/D116)</f>
        <v/>
      </c>
      <c r="H116" s="13">
        <f>MEDIAN(B87:B116)</f>
        <v/>
      </c>
      <c r="I116" s="13">
        <f>MEDIAN(ABS(B87:B116-H116))</f>
        <v/>
      </c>
      <c r="J116" s="15">
        <f>IF(I116=0,"",0.6745*(B116-H116)/I116)</f>
        <v/>
      </c>
      <c r="K116" s="13">
        <f>0.2*B116+0.8*K115</f>
        <v/>
      </c>
      <c r="L116" s="13">
        <f>C116+3*D116*SQRT(0.2/(2-0.2))</f>
        <v/>
      </c>
      <c r="M116" s="13">
        <f>C116-3*D116*SQRT(0.2/(2-0.2))</f>
        <v/>
      </c>
      <c r="N116" s="13">
        <f>MAX(0,N115+(B116-C116-0.5*D116))</f>
        <v/>
      </c>
      <c r="O116" s="13">
        <f>MIN(0,O115+(B116-C116+0.5*D116))</f>
        <v/>
      </c>
      <c r="P116">
        <f>IF(ABS(G116)&gt;1,P115+1,0)</f>
        <v/>
      </c>
      <c r="Q116">
        <f>IFS(OR(ABS(G116)&gt;3,N116&gt;5*D116,ABS(O116)&gt;5*D116,P116&gt;=5),"CRITICAL",OR(ABS(G116)&gt;2,P116&gt;=3,ABS(J116)&gt;3.5),"EARLY WARNING",ABS(G116)&gt;1,"WATCH",TRUE,"NORMAL")</f>
        <v/>
      </c>
    </row>
    <row r="117">
      <c r="A117" s="12" t="n">
        <v>45142</v>
      </c>
      <c r="B117" s="13">
        <f>Raw_Data!B117</f>
        <v/>
      </c>
      <c r="C117" s="13">
        <f>AVERAGE(B88:B117)</f>
        <v/>
      </c>
      <c r="D117" s="13">
        <f>STDEV.S(B88:B117)</f>
        <v/>
      </c>
      <c r="E117" s="13">
        <f>C117+3*D117</f>
        <v/>
      </c>
      <c r="F117" s="13">
        <f>C117-3*D117</f>
        <v/>
      </c>
      <c r="G117" s="15">
        <f>IF(D117=0,"",(B117-C117)/D117)</f>
        <v/>
      </c>
      <c r="H117" s="13">
        <f>MEDIAN(B88:B117)</f>
        <v/>
      </c>
      <c r="I117" s="13">
        <f>MEDIAN(ABS(B88:B117-H117))</f>
        <v/>
      </c>
      <c r="J117" s="15">
        <f>IF(I117=0,"",0.6745*(B117-H117)/I117)</f>
        <v/>
      </c>
      <c r="K117" s="13">
        <f>0.2*B117+0.8*K116</f>
        <v/>
      </c>
      <c r="L117" s="13">
        <f>C117+3*D117*SQRT(0.2/(2-0.2))</f>
        <v/>
      </c>
      <c r="M117" s="13">
        <f>C117-3*D117*SQRT(0.2/(2-0.2))</f>
        <v/>
      </c>
      <c r="N117" s="13">
        <f>MAX(0,N116+(B117-C117-0.5*D117))</f>
        <v/>
      </c>
      <c r="O117" s="13">
        <f>MIN(0,O116+(B117-C117+0.5*D117))</f>
        <v/>
      </c>
      <c r="P117">
        <f>IF(ABS(G117)&gt;1,P116+1,0)</f>
        <v/>
      </c>
      <c r="Q117">
        <f>IFS(OR(ABS(G117)&gt;3,N117&gt;5*D117,ABS(O117)&gt;5*D117,P117&gt;=5),"CRITICAL",OR(ABS(G117)&gt;2,P117&gt;=3,ABS(J117)&gt;3.5),"EARLY WARNING",ABS(G117)&gt;1,"WATCH",TRUE,"NORMAL")</f>
        <v/>
      </c>
    </row>
    <row r="118">
      <c r="A118" s="12" t="n">
        <v>45143</v>
      </c>
      <c r="B118" s="13">
        <f>Raw_Data!B118</f>
        <v/>
      </c>
      <c r="C118" s="13">
        <f>AVERAGE(B89:B118)</f>
        <v/>
      </c>
      <c r="D118" s="13">
        <f>STDEV.S(B89:B118)</f>
        <v/>
      </c>
      <c r="E118" s="13">
        <f>C118+3*D118</f>
        <v/>
      </c>
      <c r="F118" s="13">
        <f>C118-3*D118</f>
        <v/>
      </c>
      <c r="G118" s="15">
        <f>IF(D118=0,"",(B118-C118)/D118)</f>
        <v/>
      </c>
      <c r="H118" s="13">
        <f>MEDIAN(B89:B118)</f>
        <v/>
      </c>
      <c r="I118" s="13">
        <f>MEDIAN(ABS(B89:B118-H118))</f>
        <v/>
      </c>
      <c r="J118" s="15">
        <f>IF(I118=0,"",0.6745*(B118-H118)/I118)</f>
        <v/>
      </c>
      <c r="K118" s="13">
        <f>0.2*B118+0.8*K117</f>
        <v/>
      </c>
      <c r="L118" s="13">
        <f>C118+3*D118*SQRT(0.2/(2-0.2))</f>
        <v/>
      </c>
      <c r="M118" s="13">
        <f>C118-3*D118*SQRT(0.2/(2-0.2))</f>
        <v/>
      </c>
      <c r="N118" s="13">
        <f>MAX(0,N117+(B118-C118-0.5*D118))</f>
        <v/>
      </c>
      <c r="O118" s="13">
        <f>MIN(0,O117+(B118-C118+0.5*D118))</f>
        <v/>
      </c>
      <c r="P118">
        <f>IF(ABS(G118)&gt;1,P117+1,0)</f>
        <v/>
      </c>
      <c r="Q118">
        <f>IFS(OR(ABS(G118)&gt;3,N118&gt;5*D118,ABS(O118)&gt;5*D118,P118&gt;=5),"CRITICAL",OR(ABS(G118)&gt;2,P118&gt;=3,ABS(J118)&gt;3.5),"EARLY WARNING",ABS(G118)&gt;1,"WATCH",TRUE,"NORMAL")</f>
        <v/>
      </c>
    </row>
    <row r="119">
      <c r="A119" s="12" t="n">
        <v>45144</v>
      </c>
      <c r="B119" s="13">
        <f>Raw_Data!B119</f>
        <v/>
      </c>
      <c r="C119" s="13">
        <f>AVERAGE(B90:B119)</f>
        <v/>
      </c>
      <c r="D119" s="13">
        <f>STDEV.S(B90:B119)</f>
        <v/>
      </c>
      <c r="E119" s="13">
        <f>C119+3*D119</f>
        <v/>
      </c>
      <c r="F119" s="13">
        <f>C119-3*D119</f>
        <v/>
      </c>
      <c r="G119" s="15">
        <f>IF(D119=0,"",(B119-C119)/D119)</f>
        <v/>
      </c>
      <c r="H119" s="13">
        <f>MEDIAN(B90:B119)</f>
        <v/>
      </c>
      <c r="I119" s="13">
        <f>MEDIAN(ABS(B90:B119-H119))</f>
        <v/>
      </c>
      <c r="J119" s="15">
        <f>IF(I119=0,"",0.6745*(B119-H119)/I119)</f>
        <v/>
      </c>
      <c r="K119" s="13">
        <f>0.2*B119+0.8*K118</f>
        <v/>
      </c>
      <c r="L119" s="13">
        <f>C119+3*D119*SQRT(0.2/(2-0.2))</f>
        <v/>
      </c>
      <c r="M119" s="13">
        <f>C119-3*D119*SQRT(0.2/(2-0.2))</f>
        <v/>
      </c>
      <c r="N119" s="13">
        <f>MAX(0,N118+(B119-C119-0.5*D119))</f>
        <v/>
      </c>
      <c r="O119" s="13">
        <f>MIN(0,O118+(B119-C119+0.5*D119))</f>
        <v/>
      </c>
      <c r="P119">
        <f>IF(ABS(G119)&gt;1,P118+1,0)</f>
        <v/>
      </c>
      <c r="Q119">
        <f>IFS(OR(ABS(G119)&gt;3,N119&gt;5*D119,ABS(O119)&gt;5*D119,P119&gt;=5),"CRITICAL",OR(ABS(G119)&gt;2,P119&gt;=3,ABS(J119)&gt;3.5),"EARLY WARNING",ABS(G119)&gt;1,"WATCH",TRUE,"NORMAL")</f>
        <v/>
      </c>
    </row>
    <row r="120">
      <c r="A120" s="12" t="n">
        <v>45145</v>
      </c>
      <c r="B120" s="13">
        <f>Raw_Data!B120</f>
        <v/>
      </c>
      <c r="C120" s="13">
        <f>AVERAGE(B91:B120)</f>
        <v/>
      </c>
      <c r="D120" s="13">
        <f>STDEV.S(B91:B120)</f>
        <v/>
      </c>
      <c r="E120" s="13">
        <f>C120+3*D120</f>
        <v/>
      </c>
      <c r="F120" s="13">
        <f>C120-3*D120</f>
        <v/>
      </c>
      <c r="G120" s="15">
        <f>IF(D120=0,"",(B120-C120)/D120)</f>
        <v/>
      </c>
      <c r="H120" s="13">
        <f>MEDIAN(B91:B120)</f>
        <v/>
      </c>
      <c r="I120" s="13">
        <f>MEDIAN(ABS(B91:B120-H120))</f>
        <v/>
      </c>
      <c r="J120" s="15">
        <f>IF(I120=0,"",0.6745*(B120-H120)/I120)</f>
        <v/>
      </c>
      <c r="K120" s="13">
        <f>0.2*B120+0.8*K119</f>
        <v/>
      </c>
      <c r="L120" s="13">
        <f>C120+3*D120*SQRT(0.2/(2-0.2))</f>
        <v/>
      </c>
      <c r="M120" s="13">
        <f>C120-3*D120*SQRT(0.2/(2-0.2))</f>
        <v/>
      </c>
      <c r="N120" s="13">
        <f>MAX(0,N119+(B120-C120-0.5*D120))</f>
        <v/>
      </c>
      <c r="O120" s="13">
        <f>MIN(0,O119+(B120-C120+0.5*D120))</f>
        <v/>
      </c>
      <c r="P120">
        <f>IF(ABS(G120)&gt;1,P119+1,0)</f>
        <v/>
      </c>
      <c r="Q120">
        <f>IFS(OR(ABS(G120)&gt;3,N120&gt;5*D120,ABS(O120)&gt;5*D120,P120&gt;=5),"CRITICAL",OR(ABS(G120)&gt;2,P120&gt;=3,ABS(J120)&gt;3.5),"EARLY WARNING",ABS(G120)&gt;1,"WATCH",TRUE,"NORMAL")</f>
        <v/>
      </c>
    </row>
    <row r="121">
      <c r="A121" s="12" t="n">
        <v>45146</v>
      </c>
      <c r="B121" s="13">
        <f>Raw_Data!B121</f>
        <v/>
      </c>
      <c r="C121" s="13">
        <f>AVERAGE(B92:B121)</f>
        <v/>
      </c>
      <c r="D121" s="13">
        <f>STDEV.S(B92:B121)</f>
        <v/>
      </c>
      <c r="E121" s="13">
        <f>C121+3*D121</f>
        <v/>
      </c>
      <c r="F121" s="13">
        <f>C121-3*D121</f>
        <v/>
      </c>
      <c r="G121" s="15">
        <f>IF(D121=0,"",(B121-C121)/D121)</f>
        <v/>
      </c>
      <c r="H121" s="13">
        <f>MEDIAN(B92:B121)</f>
        <v/>
      </c>
      <c r="I121" s="13">
        <f>MEDIAN(ABS(B92:B121-H121))</f>
        <v/>
      </c>
      <c r="J121" s="15">
        <f>IF(I121=0,"",0.6745*(B121-H121)/I121)</f>
        <v/>
      </c>
      <c r="K121" s="13">
        <f>0.2*B121+0.8*K120</f>
        <v/>
      </c>
      <c r="L121" s="13">
        <f>C121+3*D121*SQRT(0.2/(2-0.2))</f>
        <v/>
      </c>
      <c r="M121" s="13">
        <f>C121-3*D121*SQRT(0.2/(2-0.2))</f>
        <v/>
      </c>
      <c r="N121" s="13">
        <f>MAX(0,N120+(B121-C121-0.5*D121))</f>
        <v/>
      </c>
      <c r="O121" s="13">
        <f>MIN(0,O120+(B121-C121+0.5*D121))</f>
        <v/>
      </c>
      <c r="P121">
        <f>IF(ABS(G121)&gt;1,P120+1,0)</f>
        <v/>
      </c>
      <c r="Q121">
        <f>IFS(OR(ABS(G121)&gt;3,N121&gt;5*D121,ABS(O121)&gt;5*D121,P121&gt;=5),"CRITICAL",OR(ABS(G121)&gt;2,P121&gt;=3,ABS(J121)&gt;3.5),"EARLY WARNING",ABS(G121)&gt;1,"WATCH",TRUE,"NORMAL")</f>
        <v/>
      </c>
    </row>
    <row r="122">
      <c r="A122" s="12" t="n">
        <v>45147</v>
      </c>
      <c r="B122" s="13">
        <f>Raw_Data!B122</f>
        <v/>
      </c>
      <c r="C122" s="13">
        <f>AVERAGE(B93:B122)</f>
        <v/>
      </c>
      <c r="D122" s="13">
        <f>STDEV.S(B93:B122)</f>
        <v/>
      </c>
      <c r="E122" s="13">
        <f>C122+3*D122</f>
        <v/>
      </c>
      <c r="F122" s="13">
        <f>C122-3*D122</f>
        <v/>
      </c>
      <c r="G122" s="15">
        <f>IF(D122=0,"",(B122-C122)/D122)</f>
        <v/>
      </c>
      <c r="H122" s="13">
        <f>MEDIAN(B93:B122)</f>
        <v/>
      </c>
      <c r="I122" s="13">
        <f>MEDIAN(ABS(B93:B122-H122))</f>
        <v/>
      </c>
      <c r="J122" s="15">
        <f>IF(I122=0,"",0.6745*(B122-H122)/I122)</f>
        <v/>
      </c>
      <c r="K122" s="13">
        <f>0.2*B122+0.8*K121</f>
        <v/>
      </c>
      <c r="L122" s="13">
        <f>C122+3*D122*SQRT(0.2/(2-0.2))</f>
        <v/>
      </c>
      <c r="M122" s="13">
        <f>C122-3*D122*SQRT(0.2/(2-0.2))</f>
        <v/>
      </c>
      <c r="N122" s="13">
        <f>MAX(0,N121+(B122-C122-0.5*D122))</f>
        <v/>
      </c>
      <c r="O122" s="13">
        <f>MIN(0,O121+(B122-C122+0.5*D122))</f>
        <v/>
      </c>
      <c r="P122">
        <f>IF(ABS(G122)&gt;1,P121+1,0)</f>
        <v/>
      </c>
      <c r="Q122">
        <f>IFS(OR(ABS(G122)&gt;3,N122&gt;5*D122,ABS(O122)&gt;5*D122,P122&gt;=5),"CRITICAL",OR(ABS(G122)&gt;2,P122&gt;=3,ABS(J122)&gt;3.5),"EARLY WARNING",ABS(G122)&gt;1,"WATCH",TRUE,"NORMAL")</f>
        <v/>
      </c>
    </row>
    <row r="123">
      <c r="A123" s="12" t="n">
        <v>45148</v>
      </c>
      <c r="B123" s="13">
        <f>Raw_Data!B123</f>
        <v/>
      </c>
      <c r="C123" s="13">
        <f>AVERAGE(B94:B123)</f>
        <v/>
      </c>
      <c r="D123" s="13">
        <f>STDEV.S(B94:B123)</f>
        <v/>
      </c>
      <c r="E123" s="13">
        <f>C123+3*D123</f>
        <v/>
      </c>
      <c r="F123" s="13">
        <f>C123-3*D123</f>
        <v/>
      </c>
      <c r="G123" s="15">
        <f>IF(D123=0,"",(B123-C123)/D123)</f>
        <v/>
      </c>
      <c r="H123" s="13">
        <f>MEDIAN(B94:B123)</f>
        <v/>
      </c>
      <c r="I123" s="13">
        <f>MEDIAN(ABS(B94:B123-H123))</f>
        <v/>
      </c>
      <c r="J123" s="15">
        <f>IF(I123=0,"",0.6745*(B123-H123)/I123)</f>
        <v/>
      </c>
      <c r="K123" s="13">
        <f>0.2*B123+0.8*K122</f>
        <v/>
      </c>
      <c r="L123" s="13">
        <f>C123+3*D123*SQRT(0.2/(2-0.2))</f>
        <v/>
      </c>
      <c r="M123" s="13">
        <f>C123-3*D123*SQRT(0.2/(2-0.2))</f>
        <v/>
      </c>
      <c r="N123" s="13">
        <f>MAX(0,N122+(B123-C123-0.5*D123))</f>
        <v/>
      </c>
      <c r="O123" s="13">
        <f>MIN(0,O122+(B123-C123+0.5*D123))</f>
        <v/>
      </c>
      <c r="P123">
        <f>IF(ABS(G123)&gt;1,P122+1,0)</f>
        <v/>
      </c>
      <c r="Q123">
        <f>IFS(OR(ABS(G123)&gt;3,N123&gt;5*D123,ABS(O123)&gt;5*D123,P123&gt;=5),"CRITICAL",OR(ABS(G123)&gt;2,P123&gt;=3,ABS(J123)&gt;3.5),"EARLY WARNING",ABS(G123)&gt;1,"WATCH",TRUE,"NORMAL")</f>
        <v/>
      </c>
    </row>
    <row r="124">
      <c r="A124" s="12" t="n">
        <v>45149</v>
      </c>
      <c r="B124" s="13">
        <f>Raw_Data!B124</f>
        <v/>
      </c>
      <c r="C124" s="13">
        <f>AVERAGE(B95:B124)</f>
        <v/>
      </c>
      <c r="D124" s="13">
        <f>STDEV.S(B95:B124)</f>
        <v/>
      </c>
      <c r="E124" s="13">
        <f>C124+3*D124</f>
        <v/>
      </c>
      <c r="F124" s="13">
        <f>C124-3*D124</f>
        <v/>
      </c>
      <c r="G124" s="15">
        <f>IF(D124=0,"",(B124-C124)/D124)</f>
        <v/>
      </c>
      <c r="H124" s="13">
        <f>MEDIAN(B95:B124)</f>
        <v/>
      </c>
      <c r="I124" s="13">
        <f>MEDIAN(ABS(B95:B124-H124))</f>
        <v/>
      </c>
      <c r="J124" s="15">
        <f>IF(I124=0,"",0.6745*(B124-H124)/I124)</f>
        <v/>
      </c>
      <c r="K124" s="13">
        <f>0.2*B124+0.8*K123</f>
        <v/>
      </c>
      <c r="L124" s="13">
        <f>C124+3*D124*SQRT(0.2/(2-0.2))</f>
        <v/>
      </c>
      <c r="M124" s="13">
        <f>C124-3*D124*SQRT(0.2/(2-0.2))</f>
        <v/>
      </c>
      <c r="N124" s="13">
        <f>MAX(0,N123+(B124-C124-0.5*D124))</f>
        <v/>
      </c>
      <c r="O124" s="13">
        <f>MIN(0,O123+(B124-C124+0.5*D124))</f>
        <v/>
      </c>
      <c r="P124">
        <f>IF(ABS(G124)&gt;1,P123+1,0)</f>
        <v/>
      </c>
      <c r="Q124">
        <f>IFS(OR(ABS(G124)&gt;3,N124&gt;5*D124,ABS(O124)&gt;5*D124,P124&gt;=5),"CRITICAL",OR(ABS(G124)&gt;2,P124&gt;=3,ABS(J124)&gt;3.5),"EARLY WARNING",ABS(G124)&gt;1,"WATCH",TRUE,"NORMAL")</f>
        <v/>
      </c>
    </row>
    <row r="125">
      <c r="A125" s="12" t="n">
        <v>45150</v>
      </c>
      <c r="B125" s="13">
        <f>Raw_Data!B125</f>
        <v/>
      </c>
      <c r="C125" s="13">
        <f>AVERAGE(B96:B125)</f>
        <v/>
      </c>
      <c r="D125" s="13">
        <f>STDEV.S(B96:B125)</f>
        <v/>
      </c>
      <c r="E125" s="13">
        <f>C125+3*D125</f>
        <v/>
      </c>
      <c r="F125" s="13">
        <f>C125-3*D125</f>
        <v/>
      </c>
      <c r="G125" s="15">
        <f>IF(D125=0,"",(B125-C125)/D125)</f>
        <v/>
      </c>
      <c r="H125" s="13">
        <f>MEDIAN(B96:B125)</f>
        <v/>
      </c>
      <c r="I125" s="13">
        <f>MEDIAN(ABS(B96:B125-H125))</f>
        <v/>
      </c>
      <c r="J125" s="15">
        <f>IF(I125=0,"",0.6745*(B125-H125)/I125)</f>
        <v/>
      </c>
      <c r="K125" s="13">
        <f>0.2*B125+0.8*K124</f>
        <v/>
      </c>
      <c r="L125" s="13">
        <f>C125+3*D125*SQRT(0.2/(2-0.2))</f>
        <v/>
      </c>
      <c r="M125" s="13">
        <f>C125-3*D125*SQRT(0.2/(2-0.2))</f>
        <v/>
      </c>
      <c r="N125" s="13">
        <f>MAX(0,N124+(B125-C125-0.5*D125))</f>
        <v/>
      </c>
      <c r="O125" s="13">
        <f>MIN(0,O124+(B125-C125+0.5*D125))</f>
        <v/>
      </c>
      <c r="P125">
        <f>IF(ABS(G125)&gt;1,P124+1,0)</f>
        <v/>
      </c>
      <c r="Q125">
        <f>IFS(OR(ABS(G125)&gt;3,N125&gt;5*D125,ABS(O125)&gt;5*D125,P125&gt;=5),"CRITICAL",OR(ABS(G125)&gt;2,P125&gt;=3,ABS(J125)&gt;3.5),"EARLY WARNING",ABS(G125)&gt;1,"WATCH",TRUE,"NORMAL")</f>
        <v/>
      </c>
    </row>
    <row r="126">
      <c r="A126" s="12" t="n">
        <v>45151</v>
      </c>
      <c r="B126" s="13">
        <f>Raw_Data!B126</f>
        <v/>
      </c>
      <c r="C126" s="13">
        <f>AVERAGE(B97:B126)</f>
        <v/>
      </c>
      <c r="D126" s="13">
        <f>STDEV.S(B97:B126)</f>
        <v/>
      </c>
      <c r="E126" s="13">
        <f>C126+3*D126</f>
        <v/>
      </c>
      <c r="F126" s="13">
        <f>C126-3*D126</f>
        <v/>
      </c>
      <c r="G126" s="15">
        <f>IF(D126=0,"",(B126-C126)/D126)</f>
        <v/>
      </c>
      <c r="H126" s="13">
        <f>MEDIAN(B97:B126)</f>
        <v/>
      </c>
      <c r="I126" s="13">
        <f>MEDIAN(ABS(B97:B126-H126))</f>
        <v/>
      </c>
      <c r="J126" s="15">
        <f>IF(I126=0,"",0.6745*(B126-H126)/I126)</f>
        <v/>
      </c>
      <c r="K126" s="13">
        <f>0.2*B126+0.8*K125</f>
        <v/>
      </c>
      <c r="L126" s="13">
        <f>C126+3*D126*SQRT(0.2/(2-0.2))</f>
        <v/>
      </c>
      <c r="M126" s="13">
        <f>C126-3*D126*SQRT(0.2/(2-0.2))</f>
        <v/>
      </c>
      <c r="N126" s="13">
        <f>MAX(0,N125+(B126-C126-0.5*D126))</f>
        <v/>
      </c>
      <c r="O126" s="13">
        <f>MIN(0,O125+(B126-C126+0.5*D126))</f>
        <v/>
      </c>
      <c r="P126">
        <f>IF(ABS(G126)&gt;1,P125+1,0)</f>
        <v/>
      </c>
      <c r="Q126">
        <f>IFS(OR(ABS(G126)&gt;3,N126&gt;5*D126,ABS(O126)&gt;5*D126,P126&gt;=5),"CRITICAL",OR(ABS(G126)&gt;2,P126&gt;=3,ABS(J126)&gt;3.5),"EARLY WARNING",ABS(G126)&gt;1,"WATCH",TRUE,"NORMAL")</f>
        <v/>
      </c>
    </row>
    <row r="127">
      <c r="A127" s="12" t="n">
        <v>45152</v>
      </c>
      <c r="B127" s="13">
        <f>Raw_Data!B127</f>
        <v/>
      </c>
      <c r="C127" s="13">
        <f>AVERAGE(B98:B127)</f>
        <v/>
      </c>
      <c r="D127" s="13">
        <f>STDEV.S(B98:B127)</f>
        <v/>
      </c>
      <c r="E127" s="13">
        <f>C127+3*D127</f>
        <v/>
      </c>
      <c r="F127" s="13">
        <f>C127-3*D127</f>
        <v/>
      </c>
      <c r="G127" s="15">
        <f>IF(D127=0,"",(B127-C127)/D127)</f>
        <v/>
      </c>
      <c r="H127" s="13">
        <f>MEDIAN(B98:B127)</f>
        <v/>
      </c>
      <c r="I127" s="13">
        <f>MEDIAN(ABS(B98:B127-H127))</f>
        <v/>
      </c>
      <c r="J127" s="15">
        <f>IF(I127=0,"",0.6745*(B127-H127)/I127)</f>
        <v/>
      </c>
      <c r="K127" s="13">
        <f>0.2*B127+0.8*K126</f>
        <v/>
      </c>
      <c r="L127" s="13">
        <f>C127+3*D127*SQRT(0.2/(2-0.2))</f>
        <v/>
      </c>
      <c r="M127" s="13">
        <f>C127-3*D127*SQRT(0.2/(2-0.2))</f>
        <v/>
      </c>
      <c r="N127" s="13">
        <f>MAX(0,N126+(B127-C127-0.5*D127))</f>
        <v/>
      </c>
      <c r="O127" s="13">
        <f>MIN(0,O126+(B127-C127+0.5*D127))</f>
        <v/>
      </c>
      <c r="P127">
        <f>IF(ABS(G127)&gt;1,P126+1,0)</f>
        <v/>
      </c>
      <c r="Q127">
        <f>IFS(OR(ABS(G127)&gt;3,N127&gt;5*D127,ABS(O127)&gt;5*D127,P127&gt;=5),"CRITICAL",OR(ABS(G127)&gt;2,P127&gt;=3,ABS(J127)&gt;3.5),"EARLY WARNING",ABS(G127)&gt;1,"WATCH",TRUE,"NORMAL")</f>
        <v/>
      </c>
    </row>
    <row r="128">
      <c r="A128" s="12" t="n">
        <v>45153</v>
      </c>
      <c r="B128" s="13">
        <f>Raw_Data!B128</f>
        <v/>
      </c>
      <c r="C128" s="13">
        <f>AVERAGE(B99:B128)</f>
        <v/>
      </c>
      <c r="D128" s="13">
        <f>STDEV.S(B99:B128)</f>
        <v/>
      </c>
      <c r="E128" s="13">
        <f>C128+3*D128</f>
        <v/>
      </c>
      <c r="F128" s="13">
        <f>C128-3*D128</f>
        <v/>
      </c>
      <c r="G128" s="15">
        <f>IF(D128=0,"",(B128-C128)/D128)</f>
        <v/>
      </c>
      <c r="H128" s="13">
        <f>MEDIAN(B99:B128)</f>
        <v/>
      </c>
      <c r="I128" s="13">
        <f>MEDIAN(ABS(B99:B128-H128))</f>
        <v/>
      </c>
      <c r="J128" s="15">
        <f>IF(I128=0,"",0.6745*(B128-H128)/I128)</f>
        <v/>
      </c>
      <c r="K128" s="13">
        <f>0.2*B128+0.8*K127</f>
        <v/>
      </c>
      <c r="L128" s="13">
        <f>C128+3*D128*SQRT(0.2/(2-0.2))</f>
        <v/>
      </c>
      <c r="M128" s="13">
        <f>C128-3*D128*SQRT(0.2/(2-0.2))</f>
        <v/>
      </c>
      <c r="N128" s="13">
        <f>MAX(0,N127+(B128-C128-0.5*D128))</f>
        <v/>
      </c>
      <c r="O128" s="13">
        <f>MIN(0,O127+(B128-C128+0.5*D128))</f>
        <v/>
      </c>
      <c r="P128">
        <f>IF(ABS(G128)&gt;1,P127+1,0)</f>
        <v/>
      </c>
      <c r="Q128">
        <f>IFS(OR(ABS(G128)&gt;3,N128&gt;5*D128,ABS(O128)&gt;5*D128,P128&gt;=5),"CRITICAL",OR(ABS(G128)&gt;2,P128&gt;=3,ABS(J128)&gt;3.5),"EARLY WARNING",ABS(G128)&gt;1,"WATCH",TRUE,"NORMAL")</f>
        <v/>
      </c>
    </row>
    <row r="129">
      <c r="A129" s="12" t="n">
        <v>45154</v>
      </c>
      <c r="B129" s="13">
        <f>Raw_Data!B129</f>
        <v/>
      </c>
      <c r="C129" s="13">
        <f>AVERAGE(B100:B129)</f>
        <v/>
      </c>
      <c r="D129" s="13">
        <f>STDEV.S(B100:B129)</f>
        <v/>
      </c>
      <c r="E129" s="13">
        <f>C129+3*D129</f>
        <v/>
      </c>
      <c r="F129" s="13">
        <f>C129-3*D129</f>
        <v/>
      </c>
      <c r="G129" s="15">
        <f>IF(D129=0,"",(B129-C129)/D129)</f>
        <v/>
      </c>
      <c r="H129" s="13">
        <f>MEDIAN(B100:B129)</f>
        <v/>
      </c>
      <c r="I129" s="13">
        <f>MEDIAN(ABS(B100:B129-H129))</f>
        <v/>
      </c>
      <c r="J129" s="15">
        <f>IF(I129=0,"",0.6745*(B129-H129)/I129)</f>
        <v/>
      </c>
      <c r="K129" s="13">
        <f>0.2*B129+0.8*K128</f>
        <v/>
      </c>
      <c r="L129" s="13">
        <f>C129+3*D129*SQRT(0.2/(2-0.2))</f>
        <v/>
      </c>
      <c r="M129" s="13">
        <f>C129-3*D129*SQRT(0.2/(2-0.2))</f>
        <v/>
      </c>
      <c r="N129" s="13">
        <f>MAX(0,N128+(B129-C129-0.5*D129))</f>
        <v/>
      </c>
      <c r="O129" s="13">
        <f>MIN(0,O128+(B129-C129+0.5*D129))</f>
        <v/>
      </c>
      <c r="P129">
        <f>IF(ABS(G129)&gt;1,P128+1,0)</f>
        <v/>
      </c>
      <c r="Q129">
        <f>IFS(OR(ABS(G129)&gt;3,N129&gt;5*D129,ABS(O129)&gt;5*D129,P129&gt;=5),"CRITICAL",OR(ABS(G129)&gt;2,P129&gt;=3,ABS(J129)&gt;3.5),"EARLY WARNING",ABS(G129)&gt;1,"WATCH",TRUE,"NORMAL")</f>
        <v/>
      </c>
    </row>
    <row r="130">
      <c r="A130" s="12" t="n">
        <v>45155</v>
      </c>
      <c r="B130" s="13">
        <f>Raw_Data!B130</f>
        <v/>
      </c>
      <c r="C130" s="13">
        <f>AVERAGE(B101:B130)</f>
        <v/>
      </c>
      <c r="D130" s="13">
        <f>STDEV.S(B101:B130)</f>
        <v/>
      </c>
      <c r="E130" s="13">
        <f>C130+3*D130</f>
        <v/>
      </c>
      <c r="F130" s="13">
        <f>C130-3*D130</f>
        <v/>
      </c>
      <c r="G130" s="15">
        <f>IF(D130=0,"",(B130-C130)/D130)</f>
        <v/>
      </c>
      <c r="H130" s="13">
        <f>MEDIAN(B101:B130)</f>
        <v/>
      </c>
      <c r="I130" s="13">
        <f>MEDIAN(ABS(B101:B130-H130))</f>
        <v/>
      </c>
      <c r="J130" s="15">
        <f>IF(I130=0,"",0.6745*(B130-H130)/I130)</f>
        <v/>
      </c>
      <c r="K130" s="13">
        <f>0.2*B130+0.8*K129</f>
        <v/>
      </c>
      <c r="L130" s="13">
        <f>C130+3*D130*SQRT(0.2/(2-0.2))</f>
        <v/>
      </c>
      <c r="M130" s="13">
        <f>C130-3*D130*SQRT(0.2/(2-0.2))</f>
        <v/>
      </c>
      <c r="N130" s="13">
        <f>MAX(0,N129+(B130-C130-0.5*D130))</f>
        <v/>
      </c>
      <c r="O130" s="13">
        <f>MIN(0,O129+(B130-C130+0.5*D130))</f>
        <v/>
      </c>
      <c r="P130">
        <f>IF(ABS(G130)&gt;1,P129+1,0)</f>
        <v/>
      </c>
      <c r="Q130">
        <f>IFS(OR(ABS(G130)&gt;3,N130&gt;5*D130,ABS(O130)&gt;5*D130,P130&gt;=5),"CRITICAL",OR(ABS(G130)&gt;2,P130&gt;=3,ABS(J130)&gt;3.5),"EARLY WARNING",ABS(G130)&gt;1,"WATCH",TRUE,"NORMAL")</f>
        <v/>
      </c>
    </row>
    <row r="131">
      <c r="A131" s="12" t="n">
        <v>45156</v>
      </c>
      <c r="B131" s="13">
        <f>Raw_Data!B131</f>
        <v/>
      </c>
      <c r="C131" s="13">
        <f>AVERAGE(B102:B131)</f>
        <v/>
      </c>
      <c r="D131" s="13">
        <f>STDEV.S(B102:B131)</f>
        <v/>
      </c>
      <c r="E131" s="13">
        <f>C131+3*D131</f>
        <v/>
      </c>
      <c r="F131" s="13">
        <f>C131-3*D131</f>
        <v/>
      </c>
      <c r="G131" s="15">
        <f>IF(D131=0,"",(B131-C131)/D131)</f>
        <v/>
      </c>
      <c r="H131" s="13">
        <f>MEDIAN(B102:B131)</f>
        <v/>
      </c>
      <c r="I131" s="13">
        <f>MEDIAN(ABS(B102:B131-H131))</f>
        <v/>
      </c>
      <c r="J131" s="15">
        <f>IF(I131=0,"",0.6745*(B131-H131)/I131)</f>
        <v/>
      </c>
      <c r="K131" s="13">
        <f>0.2*B131+0.8*K130</f>
        <v/>
      </c>
      <c r="L131" s="13">
        <f>C131+3*D131*SQRT(0.2/(2-0.2))</f>
        <v/>
      </c>
      <c r="M131" s="13">
        <f>C131-3*D131*SQRT(0.2/(2-0.2))</f>
        <v/>
      </c>
      <c r="N131" s="13">
        <f>MAX(0,N130+(B131-C131-0.5*D131))</f>
        <v/>
      </c>
      <c r="O131" s="13">
        <f>MIN(0,O130+(B131-C131+0.5*D131))</f>
        <v/>
      </c>
      <c r="P131">
        <f>IF(ABS(G131)&gt;1,P130+1,0)</f>
        <v/>
      </c>
      <c r="Q131">
        <f>IFS(OR(ABS(G131)&gt;3,N131&gt;5*D131,ABS(O131)&gt;5*D131,P131&gt;=5),"CRITICAL",OR(ABS(G131)&gt;2,P131&gt;=3,ABS(J131)&gt;3.5),"EARLY WARNING",ABS(G131)&gt;1,"WATCH",TRUE,"NORMAL")</f>
        <v/>
      </c>
    </row>
    <row r="132">
      <c r="A132" s="12" t="n">
        <v>45157</v>
      </c>
      <c r="B132" s="13">
        <f>Raw_Data!B132</f>
        <v/>
      </c>
      <c r="C132" s="13">
        <f>AVERAGE(B103:B132)</f>
        <v/>
      </c>
      <c r="D132" s="13">
        <f>STDEV.S(B103:B132)</f>
        <v/>
      </c>
      <c r="E132" s="13">
        <f>C132+3*D132</f>
        <v/>
      </c>
      <c r="F132" s="13">
        <f>C132-3*D132</f>
        <v/>
      </c>
      <c r="G132" s="15">
        <f>IF(D132=0,"",(B132-C132)/D132)</f>
        <v/>
      </c>
      <c r="H132" s="13">
        <f>MEDIAN(B103:B132)</f>
        <v/>
      </c>
      <c r="I132" s="13">
        <f>MEDIAN(ABS(B103:B132-H132))</f>
        <v/>
      </c>
      <c r="J132" s="15">
        <f>IF(I132=0,"",0.6745*(B132-H132)/I132)</f>
        <v/>
      </c>
      <c r="K132" s="13">
        <f>0.2*B132+0.8*K131</f>
        <v/>
      </c>
      <c r="L132" s="13">
        <f>C132+3*D132*SQRT(0.2/(2-0.2))</f>
        <v/>
      </c>
      <c r="M132" s="13">
        <f>C132-3*D132*SQRT(0.2/(2-0.2))</f>
        <v/>
      </c>
      <c r="N132" s="13">
        <f>MAX(0,N131+(B132-C132-0.5*D132))</f>
        <v/>
      </c>
      <c r="O132" s="13">
        <f>MIN(0,O131+(B132-C132+0.5*D132))</f>
        <v/>
      </c>
      <c r="P132">
        <f>IF(ABS(G132)&gt;1,P131+1,0)</f>
        <v/>
      </c>
      <c r="Q132">
        <f>IFS(OR(ABS(G132)&gt;3,N132&gt;5*D132,ABS(O132)&gt;5*D132,P132&gt;=5),"CRITICAL",OR(ABS(G132)&gt;2,P132&gt;=3,ABS(J132)&gt;3.5),"EARLY WARNING",ABS(G132)&gt;1,"WATCH",TRUE,"NORMAL")</f>
        <v/>
      </c>
    </row>
    <row r="133">
      <c r="A133" s="12" t="n">
        <v>45158</v>
      </c>
      <c r="B133" s="13">
        <f>Raw_Data!B133</f>
        <v/>
      </c>
      <c r="C133" s="13">
        <f>AVERAGE(B104:B133)</f>
        <v/>
      </c>
      <c r="D133" s="13">
        <f>STDEV.S(B104:B133)</f>
        <v/>
      </c>
      <c r="E133" s="13">
        <f>C133+3*D133</f>
        <v/>
      </c>
      <c r="F133" s="13">
        <f>C133-3*D133</f>
        <v/>
      </c>
      <c r="G133" s="15">
        <f>IF(D133=0,"",(B133-C133)/D133)</f>
        <v/>
      </c>
      <c r="H133" s="13">
        <f>MEDIAN(B104:B133)</f>
        <v/>
      </c>
      <c r="I133" s="13">
        <f>MEDIAN(ABS(B104:B133-H133))</f>
        <v/>
      </c>
      <c r="J133" s="15">
        <f>IF(I133=0,"",0.6745*(B133-H133)/I133)</f>
        <v/>
      </c>
      <c r="K133" s="13">
        <f>0.2*B133+0.8*K132</f>
        <v/>
      </c>
      <c r="L133" s="13">
        <f>C133+3*D133*SQRT(0.2/(2-0.2))</f>
        <v/>
      </c>
      <c r="M133" s="13">
        <f>C133-3*D133*SQRT(0.2/(2-0.2))</f>
        <v/>
      </c>
      <c r="N133" s="13">
        <f>MAX(0,N132+(B133-C133-0.5*D133))</f>
        <v/>
      </c>
      <c r="O133" s="13">
        <f>MIN(0,O132+(B133-C133+0.5*D133))</f>
        <v/>
      </c>
      <c r="P133">
        <f>IF(ABS(G133)&gt;1,P132+1,0)</f>
        <v/>
      </c>
      <c r="Q133">
        <f>IFS(OR(ABS(G133)&gt;3,N133&gt;5*D133,ABS(O133)&gt;5*D133,P133&gt;=5),"CRITICAL",OR(ABS(G133)&gt;2,P133&gt;=3,ABS(J133)&gt;3.5),"EARLY WARNING",ABS(G133)&gt;1,"WATCH",TRUE,"NORMAL")</f>
        <v/>
      </c>
    </row>
    <row r="134">
      <c r="A134" s="12" t="n">
        <v>45159</v>
      </c>
      <c r="B134" s="13">
        <f>Raw_Data!B134</f>
        <v/>
      </c>
      <c r="C134" s="13">
        <f>AVERAGE(B105:B134)</f>
        <v/>
      </c>
      <c r="D134" s="13">
        <f>STDEV.S(B105:B134)</f>
        <v/>
      </c>
      <c r="E134" s="13">
        <f>C134+3*D134</f>
        <v/>
      </c>
      <c r="F134" s="13">
        <f>C134-3*D134</f>
        <v/>
      </c>
      <c r="G134" s="15">
        <f>IF(D134=0,"",(B134-C134)/D134)</f>
        <v/>
      </c>
      <c r="H134" s="13">
        <f>MEDIAN(B105:B134)</f>
        <v/>
      </c>
      <c r="I134" s="13">
        <f>MEDIAN(ABS(B105:B134-H134))</f>
        <v/>
      </c>
      <c r="J134" s="15">
        <f>IF(I134=0,"",0.6745*(B134-H134)/I134)</f>
        <v/>
      </c>
      <c r="K134" s="13">
        <f>0.2*B134+0.8*K133</f>
        <v/>
      </c>
      <c r="L134" s="13">
        <f>C134+3*D134*SQRT(0.2/(2-0.2))</f>
        <v/>
      </c>
      <c r="M134" s="13">
        <f>C134-3*D134*SQRT(0.2/(2-0.2))</f>
        <v/>
      </c>
      <c r="N134" s="13">
        <f>MAX(0,N133+(B134-C134-0.5*D134))</f>
        <v/>
      </c>
      <c r="O134" s="13">
        <f>MIN(0,O133+(B134-C134+0.5*D134))</f>
        <v/>
      </c>
      <c r="P134">
        <f>IF(ABS(G134)&gt;1,P133+1,0)</f>
        <v/>
      </c>
      <c r="Q134">
        <f>IFS(OR(ABS(G134)&gt;3,N134&gt;5*D134,ABS(O134)&gt;5*D134,P134&gt;=5),"CRITICAL",OR(ABS(G134)&gt;2,P134&gt;=3,ABS(J134)&gt;3.5),"EARLY WARNING",ABS(G134)&gt;1,"WATCH",TRUE,"NORMAL")</f>
        <v/>
      </c>
    </row>
    <row r="135">
      <c r="A135" s="12" t="n">
        <v>45160</v>
      </c>
      <c r="B135" s="13">
        <f>Raw_Data!B135</f>
        <v/>
      </c>
      <c r="C135" s="13">
        <f>AVERAGE(B106:B135)</f>
        <v/>
      </c>
      <c r="D135" s="13">
        <f>STDEV.S(B106:B135)</f>
        <v/>
      </c>
      <c r="E135" s="13">
        <f>C135+3*D135</f>
        <v/>
      </c>
      <c r="F135" s="13">
        <f>C135-3*D135</f>
        <v/>
      </c>
      <c r="G135" s="15">
        <f>IF(D135=0,"",(B135-C135)/D135)</f>
        <v/>
      </c>
      <c r="H135" s="13">
        <f>MEDIAN(B106:B135)</f>
        <v/>
      </c>
      <c r="I135" s="13">
        <f>MEDIAN(ABS(B106:B135-H135))</f>
        <v/>
      </c>
      <c r="J135" s="15">
        <f>IF(I135=0,"",0.6745*(B135-H135)/I135)</f>
        <v/>
      </c>
      <c r="K135" s="13">
        <f>0.2*B135+0.8*K134</f>
        <v/>
      </c>
      <c r="L135" s="13">
        <f>C135+3*D135*SQRT(0.2/(2-0.2))</f>
        <v/>
      </c>
      <c r="M135" s="13">
        <f>C135-3*D135*SQRT(0.2/(2-0.2))</f>
        <v/>
      </c>
      <c r="N135" s="13">
        <f>MAX(0,N134+(B135-C135-0.5*D135))</f>
        <v/>
      </c>
      <c r="O135" s="13">
        <f>MIN(0,O134+(B135-C135+0.5*D135))</f>
        <v/>
      </c>
      <c r="P135">
        <f>IF(ABS(G135)&gt;1,P134+1,0)</f>
        <v/>
      </c>
      <c r="Q135">
        <f>IFS(OR(ABS(G135)&gt;3,N135&gt;5*D135,ABS(O135)&gt;5*D135,P135&gt;=5),"CRITICAL",OR(ABS(G135)&gt;2,P135&gt;=3,ABS(J135)&gt;3.5),"EARLY WARNING",ABS(G135)&gt;1,"WATCH",TRUE,"NORMAL")</f>
        <v/>
      </c>
    </row>
    <row r="136">
      <c r="A136" s="12" t="n">
        <v>45161</v>
      </c>
      <c r="B136" s="13">
        <f>Raw_Data!B136</f>
        <v/>
      </c>
      <c r="C136" s="13">
        <f>AVERAGE(B107:B136)</f>
        <v/>
      </c>
      <c r="D136" s="13">
        <f>STDEV.S(B107:B136)</f>
        <v/>
      </c>
      <c r="E136" s="13">
        <f>C136+3*D136</f>
        <v/>
      </c>
      <c r="F136" s="13">
        <f>C136-3*D136</f>
        <v/>
      </c>
      <c r="G136" s="15">
        <f>IF(D136=0,"",(B136-C136)/D136)</f>
        <v/>
      </c>
      <c r="H136" s="13">
        <f>MEDIAN(B107:B136)</f>
        <v/>
      </c>
      <c r="I136" s="13">
        <f>MEDIAN(ABS(B107:B136-H136))</f>
        <v/>
      </c>
      <c r="J136" s="15">
        <f>IF(I136=0,"",0.6745*(B136-H136)/I136)</f>
        <v/>
      </c>
      <c r="K136" s="13">
        <f>0.2*B136+0.8*K135</f>
        <v/>
      </c>
      <c r="L136" s="13">
        <f>C136+3*D136*SQRT(0.2/(2-0.2))</f>
        <v/>
      </c>
      <c r="M136" s="13">
        <f>C136-3*D136*SQRT(0.2/(2-0.2))</f>
        <v/>
      </c>
      <c r="N136" s="13">
        <f>MAX(0,N135+(B136-C136-0.5*D136))</f>
        <v/>
      </c>
      <c r="O136" s="13">
        <f>MIN(0,O135+(B136-C136+0.5*D136))</f>
        <v/>
      </c>
      <c r="P136">
        <f>IF(ABS(G136)&gt;1,P135+1,0)</f>
        <v/>
      </c>
      <c r="Q136">
        <f>IFS(OR(ABS(G136)&gt;3,N136&gt;5*D136,ABS(O136)&gt;5*D136,P136&gt;=5),"CRITICAL",OR(ABS(G136)&gt;2,P136&gt;=3,ABS(J136)&gt;3.5),"EARLY WARNING",ABS(G136)&gt;1,"WATCH",TRUE,"NORMAL")</f>
        <v/>
      </c>
    </row>
    <row r="137">
      <c r="A137" s="12" t="n">
        <v>45162</v>
      </c>
      <c r="B137" s="13">
        <f>Raw_Data!B137</f>
        <v/>
      </c>
      <c r="C137" s="13">
        <f>AVERAGE(B108:B137)</f>
        <v/>
      </c>
      <c r="D137" s="13">
        <f>STDEV.S(B108:B137)</f>
        <v/>
      </c>
      <c r="E137" s="13">
        <f>C137+3*D137</f>
        <v/>
      </c>
      <c r="F137" s="13">
        <f>C137-3*D137</f>
        <v/>
      </c>
      <c r="G137" s="15">
        <f>IF(D137=0,"",(B137-C137)/D137)</f>
        <v/>
      </c>
      <c r="H137" s="13">
        <f>MEDIAN(B108:B137)</f>
        <v/>
      </c>
      <c r="I137" s="13">
        <f>MEDIAN(ABS(B108:B137-H137))</f>
        <v/>
      </c>
      <c r="J137" s="15">
        <f>IF(I137=0,"",0.6745*(B137-H137)/I137)</f>
        <v/>
      </c>
      <c r="K137" s="13">
        <f>0.2*B137+0.8*K136</f>
        <v/>
      </c>
      <c r="L137" s="13">
        <f>C137+3*D137*SQRT(0.2/(2-0.2))</f>
        <v/>
      </c>
      <c r="M137" s="13">
        <f>C137-3*D137*SQRT(0.2/(2-0.2))</f>
        <v/>
      </c>
      <c r="N137" s="13">
        <f>MAX(0,N136+(B137-C137-0.5*D137))</f>
        <v/>
      </c>
      <c r="O137" s="13">
        <f>MIN(0,O136+(B137-C137+0.5*D137))</f>
        <v/>
      </c>
      <c r="P137">
        <f>IF(ABS(G137)&gt;1,P136+1,0)</f>
        <v/>
      </c>
      <c r="Q137">
        <f>IFS(OR(ABS(G137)&gt;3,N137&gt;5*D137,ABS(O137)&gt;5*D137,P137&gt;=5),"CRITICAL",OR(ABS(G137)&gt;2,P137&gt;=3,ABS(J137)&gt;3.5),"EARLY WARNING",ABS(G137)&gt;1,"WATCH",TRUE,"NORMAL")</f>
        <v/>
      </c>
    </row>
    <row r="138">
      <c r="A138" s="12" t="n">
        <v>45163</v>
      </c>
      <c r="B138" s="13">
        <f>Raw_Data!B138</f>
        <v/>
      </c>
      <c r="C138" s="13">
        <f>AVERAGE(B109:B138)</f>
        <v/>
      </c>
      <c r="D138" s="13">
        <f>STDEV.S(B109:B138)</f>
        <v/>
      </c>
      <c r="E138" s="13">
        <f>C138+3*D138</f>
        <v/>
      </c>
      <c r="F138" s="13">
        <f>C138-3*D138</f>
        <v/>
      </c>
      <c r="G138" s="15">
        <f>IF(D138=0,"",(B138-C138)/D138)</f>
        <v/>
      </c>
      <c r="H138" s="13">
        <f>MEDIAN(B109:B138)</f>
        <v/>
      </c>
      <c r="I138" s="13">
        <f>MEDIAN(ABS(B109:B138-H138))</f>
        <v/>
      </c>
      <c r="J138" s="15">
        <f>IF(I138=0,"",0.6745*(B138-H138)/I138)</f>
        <v/>
      </c>
      <c r="K138" s="13">
        <f>0.2*B138+0.8*K137</f>
        <v/>
      </c>
      <c r="L138" s="13">
        <f>C138+3*D138*SQRT(0.2/(2-0.2))</f>
        <v/>
      </c>
      <c r="M138" s="13">
        <f>C138-3*D138*SQRT(0.2/(2-0.2))</f>
        <v/>
      </c>
      <c r="N138" s="13">
        <f>MAX(0,N137+(B138-C138-0.5*D138))</f>
        <v/>
      </c>
      <c r="O138" s="13">
        <f>MIN(0,O137+(B138-C138+0.5*D138))</f>
        <v/>
      </c>
      <c r="P138">
        <f>IF(ABS(G138)&gt;1,P137+1,0)</f>
        <v/>
      </c>
      <c r="Q138">
        <f>IFS(OR(ABS(G138)&gt;3,N138&gt;5*D138,ABS(O138)&gt;5*D138,P138&gt;=5),"CRITICAL",OR(ABS(G138)&gt;2,P138&gt;=3,ABS(J138)&gt;3.5),"EARLY WARNING",ABS(G138)&gt;1,"WATCH",TRUE,"NORMAL")</f>
        <v/>
      </c>
    </row>
    <row r="139">
      <c r="A139" s="12" t="n">
        <v>45164</v>
      </c>
      <c r="B139" s="13">
        <f>Raw_Data!B139</f>
        <v/>
      </c>
      <c r="C139" s="13">
        <f>AVERAGE(B110:B139)</f>
        <v/>
      </c>
      <c r="D139" s="13">
        <f>STDEV.S(B110:B139)</f>
        <v/>
      </c>
      <c r="E139" s="13">
        <f>C139+3*D139</f>
        <v/>
      </c>
      <c r="F139" s="13">
        <f>C139-3*D139</f>
        <v/>
      </c>
      <c r="G139" s="15">
        <f>IF(D139=0,"",(B139-C139)/D139)</f>
        <v/>
      </c>
      <c r="H139" s="13">
        <f>MEDIAN(B110:B139)</f>
        <v/>
      </c>
      <c r="I139" s="13">
        <f>MEDIAN(ABS(B110:B139-H139))</f>
        <v/>
      </c>
      <c r="J139" s="15">
        <f>IF(I139=0,"",0.6745*(B139-H139)/I139)</f>
        <v/>
      </c>
      <c r="K139" s="13">
        <f>0.2*B139+0.8*K138</f>
        <v/>
      </c>
      <c r="L139" s="13">
        <f>C139+3*D139*SQRT(0.2/(2-0.2))</f>
        <v/>
      </c>
      <c r="M139" s="13">
        <f>C139-3*D139*SQRT(0.2/(2-0.2))</f>
        <v/>
      </c>
      <c r="N139" s="13">
        <f>MAX(0,N138+(B139-C139-0.5*D139))</f>
        <v/>
      </c>
      <c r="O139" s="13">
        <f>MIN(0,O138+(B139-C139+0.5*D139))</f>
        <v/>
      </c>
      <c r="P139">
        <f>IF(ABS(G139)&gt;1,P138+1,0)</f>
        <v/>
      </c>
      <c r="Q139">
        <f>IFS(OR(ABS(G139)&gt;3,N139&gt;5*D139,ABS(O139)&gt;5*D139,P139&gt;=5),"CRITICAL",OR(ABS(G139)&gt;2,P139&gt;=3,ABS(J139)&gt;3.5),"EARLY WARNING",ABS(G139)&gt;1,"WATCH",TRUE,"NORMAL")</f>
        <v/>
      </c>
    </row>
    <row r="140">
      <c r="A140" s="12" t="n">
        <v>45165</v>
      </c>
      <c r="B140" s="13">
        <f>Raw_Data!B140</f>
        <v/>
      </c>
      <c r="C140" s="13">
        <f>AVERAGE(B111:B140)</f>
        <v/>
      </c>
      <c r="D140" s="13">
        <f>STDEV.S(B111:B140)</f>
        <v/>
      </c>
      <c r="E140" s="13">
        <f>C140+3*D140</f>
        <v/>
      </c>
      <c r="F140" s="13">
        <f>C140-3*D140</f>
        <v/>
      </c>
      <c r="G140" s="15">
        <f>IF(D140=0,"",(B140-C140)/D140)</f>
        <v/>
      </c>
      <c r="H140" s="13">
        <f>MEDIAN(B111:B140)</f>
        <v/>
      </c>
      <c r="I140" s="13">
        <f>MEDIAN(ABS(B111:B140-H140))</f>
        <v/>
      </c>
      <c r="J140" s="15">
        <f>IF(I140=0,"",0.6745*(B140-H140)/I140)</f>
        <v/>
      </c>
      <c r="K140" s="13">
        <f>0.2*B140+0.8*K139</f>
        <v/>
      </c>
      <c r="L140" s="13">
        <f>C140+3*D140*SQRT(0.2/(2-0.2))</f>
        <v/>
      </c>
      <c r="M140" s="13">
        <f>C140-3*D140*SQRT(0.2/(2-0.2))</f>
        <v/>
      </c>
      <c r="N140" s="13">
        <f>MAX(0,N139+(B140-C140-0.5*D140))</f>
        <v/>
      </c>
      <c r="O140" s="13">
        <f>MIN(0,O139+(B140-C140+0.5*D140))</f>
        <v/>
      </c>
      <c r="P140">
        <f>IF(ABS(G140)&gt;1,P139+1,0)</f>
        <v/>
      </c>
      <c r="Q140">
        <f>IFS(OR(ABS(G140)&gt;3,N140&gt;5*D140,ABS(O140)&gt;5*D140,P140&gt;=5),"CRITICAL",OR(ABS(G140)&gt;2,P140&gt;=3,ABS(J140)&gt;3.5),"EARLY WARNING",ABS(G140)&gt;1,"WATCH",TRUE,"NORMAL")</f>
        <v/>
      </c>
    </row>
    <row r="141">
      <c r="A141" s="12" t="n">
        <v>45166</v>
      </c>
      <c r="B141" s="13">
        <f>Raw_Data!B141</f>
        <v/>
      </c>
      <c r="C141" s="13">
        <f>AVERAGE(B112:B141)</f>
        <v/>
      </c>
      <c r="D141" s="13">
        <f>STDEV.S(B112:B141)</f>
        <v/>
      </c>
      <c r="E141" s="13">
        <f>C141+3*D141</f>
        <v/>
      </c>
      <c r="F141" s="13">
        <f>C141-3*D141</f>
        <v/>
      </c>
      <c r="G141" s="15">
        <f>IF(D141=0,"",(B141-C141)/D141)</f>
        <v/>
      </c>
      <c r="H141" s="13">
        <f>MEDIAN(B112:B141)</f>
        <v/>
      </c>
      <c r="I141" s="13">
        <f>MEDIAN(ABS(B112:B141-H141))</f>
        <v/>
      </c>
      <c r="J141" s="15">
        <f>IF(I141=0,"",0.6745*(B141-H141)/I141)</f>
        <v/>
      </c>
      <c r="K141" s="13">
        <f>0.2*B141+0.8*K140</f>
        <v/>
      </c>
      <c r="L141" s="13">
        <f>C141+3*D141*SQRT(0.2/(2-0.2))</f>
        <v/>
      </c>
      <c r="M141" s="13">
        <f>C141-3*D141*SQRT(0.2/(2-0.2))</f>
        <v/>
      </c>
      <c r="N141" s="13">
        <f>MAX(0,N140+(B141-C141-0.5*D141))</f>
        <v/>
      </c>
      <c r="O141" s="13">
        <f>MIN(0,O140+(B141-C141+0.5*D141))</f>
        <v/>
      </c>
      <c r="P141">
        <f>IF(ABS(G141)&gt;1,P140+1,0)</f>
        <v/>
      </c>
      <c r="Q141">
        <f>IFS(OR(ABS(G141)&gt;3,N141&gt;5*D141,ABS(O141)&gt;5*D141,P141&gt;=5),"CRITICAL",OR(ABS(G141)&gt;2,P141&gt;=3,ABS(J141)&gt;3.5),"EARLY WARNING",ABS(G141)&gt;1,"WATCH",TRUE,"NORMAL")</f>
        <v/>
      </c>
    </row>
    <row r="142">
      <c r="A142" s="12" t="n">
        <v>45167</v>
      </c>
      <c r="B142" s="13">
        <f>Raw_Data!B142</f>
        <v/>
      </c>
      <c r="C142" s="13">
        <f>AVERAGE(B113:B142)</f>
        <v/>
      </c>
      <c r="D142" s="13">
        <f>STDEV.S(B113:B142)</f>
        <v/>
      </c>
      <c r="E142" s="13">
        <f>C142+3*D142</f>
        <v/>
      </c>
      <c r="F142" s="13">
        <f>C142-3*D142</f>
        <v/>
      </c>
      <c r="G142" s="15">
        <f>IF(D142=0,"",(B142-C142)/D142)</f>
        <v/>
      </c>
      <c r="H142" s="13">
        <f>MEDIAN(B113:B142)</f>
        <v/>
      </c>
      <c r="I142" s="13">
        <f>MEDIAN(ABS(B113:B142-H142))</f>
        <v/>
      </c>
      <c r="J142" s="15">
        <f>IF(I142=0,"",0.6745*(B142-H142)/I142)</f>
        <v/>
      </c>
      <c r="K142" s="13">
        <f>0.2*B142+0.8*K141</f>
        <v/>
      </c>
      <c r="L142" s="13">
        <f>C142+3*D142*SQRT(0.2/(2-0.2))</f>
        <v/>
      </c>
      <c r="M142" s="13">
        <f>C142-3*D142*SQRT(0.2/(2-0.2))</f>
        <v/>
      </c>
      <c r="N142" s="13">
        <f>MAX(0,N141+(B142-C142-0.5*D142))</f>
        <v/>
      </c>
      <c r="O142" s="13">
        <f>MIN(0,O141+(B142-C142+0.5*D142))</f>
        <v/>
      </c>
      <c r="P142">
        <f>IF(ABS(G142)&gt;1,P141+1,0)</f>
        <v/>
      </c>
      <c r="Q142">
        <f>IFS(OR(ABS(G142)&gt;3,N142&gt;5*D142,ABS(O142)&gt;5*D142,P142&gt;=5),"CRITICAL",OR(ABS(G142)&gt;2,P142&gt;=3,ABS(J142)&gt;3.5),"EARLY WARNING",ABS(G142)&gt;1,"WATCH",TRUE,"NORMAL")</f>
        <v/>
      </c>
    </row>
    <row r="143">
      <c r="A143" s="12" t="n">
        <v>45168</v>
      </c>
      <c r="B143" s="13">
        <f>Raw_Data!B143</f>
        <v/>
      </c>
      <c r="C143" s="13">
        <f>AVERAGE(B114:B143)</f>
        <v/>
      </c>
      <c r="D143" s="13">
        <f>STDEV.S(B114:B143)</f>
        <v/>
      </c>
      <c r="E143" s="13">
        <f>C143+3*D143</f>
        <v/>
      </c>
      <c r="F143" s="13">
        <f>C143-3*D143</f>
        <v/>
      </c>
      <c r="G143" s="15">
        <f>IF(D143=0,"",(B143-C143)/D143)</f>
        <v/>
      </c>
      <c r="H143" s="13">
        <f>MEDIAN(B114:B143)</f>
        <v/>
      </c>
      <c r="I143" s="13">
        <f>MEDIAN(ABS(B114:B143-H143))</f>
        <v/>
      </c>
      <c r="J143" s="15">
        <f>IF(I143=0,"",0.6745*(B143-H143)/I143)</f>
        <v/>
      </c>
      <c r="K143" s="13">
        <f>0.2*B143+0.8*K142</f>
        <v/>
      </c>
      <c r="L143" s="13">
        <f>C143+3*D143*SQRT(0.2/(2-0.2))</f>
        <v/>
      </c>
      <c r="M143" s="13">
        <f>C143-3*D143*SQRT(0.2/(2-0.2))</f>
        <v/>
      </c>
      <c r="N143" s="13">
        <f>MAX(0,N142+(B143-C143-0.5*D143))</f>
        <v/>
      </c>
      <c r="O143" s="13">
        <f>MIN(0,O142+(B143-C143+0.5*D143))</f>
        <v/>
      </c>
      <c r="P143">
        <f>IF(ABS(G143)&gt;1,P142+1,0)</f>
        <v/>
      </c>
      <c r="Q143">
        <f>IFS(OR(ABS(G143)&gt;3,N143&gt;5*D143,ABS(O143)&gt;5*D143,P143&gt;=5),"CRITICAL",OR(ABS(G143)&gt;2,P143&gt;=3,ABS(J143)&gt;3.5),"EARLY WARNING",ABS(G143)&gt;1,"WATCH",TRUE,"NORMAL")</f>
        <v/>
      </c>
    </row>
    <row r="144">
      <c r="A144" s="12" t="n">
        <v>45169</v>
      </c>
      <c r="B144" s="13">
        <f>Raw_Data!B144</f>
        <v/>
      </c>
      <c r="C144" s="13">
        <f>AVERAGE(B115:B144)</f>
        <v/>
      </c>
      <c r="D144" s="13">
        <f>STDEV.S(B115:B144)</f>
        <v/>
      </c>
      <c r="E144" s="13">
        <f>C144+3*D144</f>
        <v/>
      </c>
      <c r="F144" s="13">
        <f>C144-3*D144</f>
        <v/>
      </c>
      <c r="G144" s="15">
        <f>IF(D144=0,"",(B144-C144)/D144)</f>
        <v/>
      </c>
      <c r="H144" s="13">
        <f>MEDIAN(B115:B144)</f>
        <v/>
      </c>
      <c r="I144" s="13">
        <f>MEDIAN(ABS(B115:B144-H144))</f>
        <v/>
      </c>
      <c r="J144" s="15">
        <f>IF(I144=0,"",0.6745*(B144-H144)/I144)</f>
        <v/>
      </c>
      <c r="K144" s="13">
        <f>0.2*B144+0.8*K143</f>
        <v/>
      </c>
      <c r="L144" s="13">
        <f>C144+3*D144*SQRT(0.2/(2-0.2))</f>
        <v/>
      </c>
      <c r="M144" s="13">
        <f>C144-3*D144*SQRT(0.2/(2-0.2))</f>
        <v/>
      </c>
      <c r="N144" s="13">
        <f>MAX(0,N143+(B144-C144-0.5*D144))</f>
        <v/>
      </c>
      <c r="O144" s="13">
        <f>MIN(0,O143+(B144-C144+0.5*D144))</f>
        <v/>
      </c>
      <c r="P144">
        <f>IF(ABS(G144)&gt;1,P143+1,0)</f>
        <v/>
      </c>
      <c r="Q144">
        <f>IFS(OR(ABS(G144)&gt;3,N144&gt;5*D144,ABS(O144)&gt;5*D144,P144&gt;=5),"CRITICAL",OR(ABS(G144)&gt;2,P144&gt;=3,ABS(J144)&gt;3.5),"EARLY WARNING",ABS(G144)&gt;1,"WATCH",TRUE,"NORMAL")</f>
        <v/>
      </c>
    </row>
    <row r="145">
      <c r="A145" s="12" t="n">
        <v>45170</v>
      </c>
      <c r="B145" s="13">
        <f>Raw_Data!B145</f>
        <v/>
      </c>
      <c r="C145" s="13">
        <f>AVERAGE(B116:B145)</f>
        <v/>
      </c>
      <c r="D145" s="13">
        <f>STDEV.S(B116:B145)</f>
        <v/>
      </c>
      <c r="E145" s="13">
        <f>C145+3*D145</f>
        <v/>
      </c>
      <c r="F145" s="13">
        <f>C145-3*D145</f>
        <v/>
      </c>
      <c r="G145" s="15">
        <f>IF(D145=0,"",(B145-C145)/D145)</f>
        <v/>
      </c>
      <c r="H145" s="13">
        <f>MEDIAN(B116:B145)</f>
        <v/>
      </c>
      <c r="I145" s="13">
        <f>MEDIAN(ABS(B116:B145-H145))</f>
        <v/>
      </c>
      <c r="J145" s="15">
        <f>IF(I145=0,"",0.6745*(B145-H145)/I145)</f>
        <v/>
      </c>
      <c r="K145" s="13">
        <f>0.2*B145+0.8*K144</f>
        <v/>
      </c>
      <c r="L145" s="13">
        <f>C145+3*D145*SQRT(0.2/(2-0.2))</f>
        <v/>
      </c>
      <c r="M145" s="13">
        <f>C145-3*D145*SQRT(0.2/(2-0.2))</f>
        <v/>
      </c>
      <c r="N145" s="13">
        <f>MAX(0,N144+(B145-C145-0.5*D145))</f>
        <v/>
      </c>
      <c r="O145" s="13">
        <f>MIN(0,O144+(B145-C145+0.5*D145))</f>
        <v/>
      </c>
      <c r="P145">
        <f>IF(ABS(G145)&gt;1,P144+1,0)</f>
        <v/>
      </c>
      <c r="Q145">
        <f>IFS(OR(ABS(G145)&gt;3,N145&gt;5*D145,ABS(O145)&gt;5*D145,P145&gt;=5),"CRITICAL",OR(ABS(G145)&gt;2,P145&gt;=3,ABS(J145)&gt;3.5),"EARLY WARNING",ABS(G145)&gt;1,"WATCH",TRUE,"NORMAL")</f>
        <v/>
      </c>
    </row>
    <row r="146">
      <c r="A146" s="12" t="n">
        <v>45171</v>
      </c>
      <c r="B146" s="13">
        <f>Raw_Data!B146</f>
        <v/>
      </c>
      <c r="C146" s="13">
        <f>AVERAGE(B117:B146)</f>
        <v/>
      </c>
      <c r="D146" s="13">
        <f>STDEV.S(B117:B146)</f>
        <v/>
      </c>
      <c r="E146" s="13">
        <f>C146+3*D146</f>
        <v/>
      </c>
      <c r="F146" s="13">
        <f>C146-3*D146</f>
        <v/>
      </c>
      <c r="G146" s="15">
        <f>IF(D146=0,"",(B146-C146)/D146)</f>
        <v/>
      </c>
      <c r="H146" s="13">
        <f>MEDIAN(B117:B146)</f>
        <v/>
      </c>
      <c r="I146" s="13">
        <f>MEDIAN(ABS(B117:B146-H146))</f>
        <v/>
      </c>
      <c r="J146" s="15">
        <f>IF(I146=0,"",0.6745*(B146-H146)/I146)</f>
        <v/>
      </c>
      <c r="K146" s="13">
        <f>0.2*B146+0.8*K145</f>
        <v/>
      </c>
      <c r="L146" s="13">
        <f>C146+3*D146*SQRT(0.2/(2-0.2))</f>
        <v/>
      </c>
      <c r="M146" s="13">
        <f>C146-3*D146*SQRT(0.2/(2-0.2))</f>
        <v/>
      </c>
      <c r="N146" s="13">
        <f>MAX(0,N145+(B146-C146-0.5*D146))</f>
        <v/>
      </c>
      <c r="O146" s="13">
        <f>MIN(0,O145+(B146-C146+0.5*D146))</f>
        <v/>
      </c>
      <c r="P146">
        <f>IF(ABS(G146)&gt;1,P145+1,0)</f>
        <v/>
      </c>
      <c r="Q146">
        <f>IFS(OR(ABS(G146)&gt;3,N146&gt;5*D146,ABS(O146)&gt;5*D146,P146&gt;=5),"CRITICAL",OR(ABS(G146)&gt;2,P146&gt;=3,ABS(J146)&gt;3.5),"EARLY WARNING",ABS(G146)&gt;1,"WATCH",TRUE,"NORMAL")</f>
        <v/>
      </c>
    </row>
    <row r="147">
      <c r="A147" s="12" t="n">
        <v>45172</v>
      </c>
      <c r="B147" s="13">
        <f>Raw_Data!B147</f>
        <v/>
      </c>
      <c r="C147" s="13">
        <f>AVERAGE(B118:B147)</f>
        <v/>
      </c>
      <c r="D147" s="13">
        <f>STDEV.S(B118:B147)</f>
        <v/>
      </c>
      <c r="E147" s="13">
        <f>C147+3*D147</f>
        <v/>
      </c>
      <c r="F147" s="13">
        <f>C147-3*D147</f>
        <v/>
      </c>
      <c r="G147" s="15">
        <f>IF(D147=0,"",(B147-C147)/D147)</f>
        <v/>
      </c>
      <c r="H147" s="13">
        <f>MEDIAN(B118:B147)</f>
        <v/>
      </c>
      <c r="I147" s="13">
        <f>MEDIAN(ABS(B118:B147-H147))</f>
        <v/>
      </c>
      <c r="J147" s="15">
        <f>IF(I147=0,"",0.6745*(B147-H147)/I147)</f>
        <v/>
      </c>
      <c r="K147" s="13">
        <f>0.2*B147+0.8*K146</f>
        <v/>
      </c>
      <c r="L147" s="13">
        <f>C147+3*D147*SQRT(0.2/(2-0.2))</f>
        <v/>
      </c>
      <c r="M147" s="13">
        <f>C147-3*D147*SQRT(0.2/(2-0.2))</f>
        <v/>
      </c>
      <c r="N147" s="13">
        <f>MAX(0,N146+(B147-C147-0.5*D147))</f>
        <v/>
      </c>
      <c r="O147" s="13">
        <f>MIN(0,O146+(B147-C147+0.5*D147))</f>
        <v/>
      </c>
      <c r="P147">
        <f>IF(ABS(G147)&gt;1,P146+1,0)</f>
        <v/>
      </c>
      <c r="Q147">
        <f>IFS(OR(ABS(G147)&gt;3,N147&gt;5*D147,ABS(O147)&gt;5*D147,P147&gt;=5),"CRITICAL",OR(ABS(G147)&gt;2,P147&gt;=3,ABS(J147)&gt;3.5),"EARLY WARNING",ABS(G147)&gt;1,"WATCH",TRUE,"NORMAL")</f>
        <v/>
      </c>
    </row>
    <row r="148">
      <c r="A148" s="12" t="n">
        <v>45173</v>
      </c>
      <c r="B148" s="13">
        <f>Raw_Data!B148</f>
        <v/>
      </c>
      <c r="C148" s="13">
        <f>AVERAGE(B119:B148)</f>
        <v/>
      </c>
      <c r="D148" s="13">
        <f>STDEV.S(B119:B148)</f>
        <v/>
      </c>
      <c r="E148" s="13">
        <f>C148+3*D148</f>
        <v/>
      </c>
      <c r="F148" s="13">
        <f>C148-3*D148</f>
        <v/>
      </c>
      <c r="G148" s="15">
        <f>IF(D148=0,"",(B148-C148)/D148)</f>
        <v/>
      </c>
      <c r="H148" s="13">
        <f>MEDIAN(B119:B148)</f>
        <v/>
      </c>
      <c r="I148" s="13">
        <f>MEDIAN(ABS(B119:B148-H148))</f>
        <v/>
      </c>
      <c r="J148" s="15">
        <f>IF(I148=0,"",0.6745*(B148-H148)/I148)</f>
        <v/>
      </c>
      <c r="K148" s="13">
        <f>0.2*B148+0.8*K147</f>
        <v/>
      </c>
      <c r="L148" s="13">
        <f>C148+3*D148*SQRT(0.2/(2-0.2))</f>
        <v/>
      </c>
      <c r="M148" s="13">
        <f>C148-3*D148*SQRT(0.2/(2-0.2))</f>
        <v/>
      </c>
      <c r="N148" s="13">
        <f>MAX(0,N147+(B148-C148-0.5*D148))</f>
        <v/>
      </c>
      <c r="O148" s="13">
        <f>MIN(0,O147+(B148-C148+0.5*D148))</f>
        <v/>
      </c>
      <c r="P148">
        <f>IF(ABS(G148)&gt;1,P147+1,0)</f>
        <v/>
      </c>
      <c r="Q148">
        <f>IFS(OR(ABS(G148)&gt;3,N148&gt;5*D148,ABS(O148)&gt;5*D148,P148&gt;=5),"CRITICAL",OR(ABS(G148)&gt;2,P148&gt;=3,ABS(J148)&gt;3.5),"EARLY WARNING",ABS(G148)&gt;1,"WATCH",TRUE,"NORMAL")</f>
        <v/>
      </c>
    </row>
    <row r="149">
      <c r="A149" s="12" t="n">
        <v>45174</v>
      </c>
      <c r="B149" s="13">
        <f>Raw_Data!B149</f>
        <v/>
      </c>
      <c r="C149" s="13">
        <f>AVERAGE(B120:B149)</f>
        <v/>
      </c>
      <c r="D149" s="13">
        <f>STDEV.S(B120:B149)</f>
        <v/>
      </c>
      <c r="E149" s="13">
        <f>C149+3*D149</f>
        <v/>
      </c>
      <c r="F149" s="13">
        <f>C149-3*D149</f>
        <v/>
      </c>
      <c r="G149" s="15">
        <f>IF(D149=0,"",(B149-C149)/D149)</f>
        <v/>
      </c>
      <c r="H149" s="13">
        <f>MEDIAN(B120:B149)</f>
        <v/>
      </c>
      <c r="I149" s="13">
        <f>MEDIAN(ABS(B120:B149-H149))</f>
        <v/>
      </c>
      <c r="J149" s="15">
        <f>IF(I149=0,"",0.6745*(B149-H149)/I149)</f>
        <v/>
      </c>
      <c r="K149" s="13">
        <f>0.2*B149+0.8*K148</f>
        <v/>
      </c>
      <c r="L149" s="13">
        <f>C149+3*D149*SQRT(0.2/(2-0.2))</f>
        <v/>
      </c>
      <c r="M149" s="13">
        <f>C149-3*D149*SQRT(0.2/(2-0.2))</f>
        <v/>
      </c>
      <c r="N149" s="13">
        <f>MAX(0,N148+(B149-C149-0.5*D149))</f>
        <v/>
      </c>
      <c r="O149" s="13">
        <f>MIN(0,O148+(B149-C149+0.5*D149))</f>
        <v/>
      </c>
      <c r="P149">
        <f>IF(ABS(G149)&gt;1,P148+1,0)</f>
        <v/>
      </c>
      <c r="Q149">
        <f>IFS(OR(ABS(G149)&gt;3,N149&gt;5*D149,ABS(O149)&gt;5*D149,P149&gt;=5),"CRITICAL",OR(ABS(G149)&gt;2,P149&gt;=3,ABS(J149)&gt;3.5),"EARLY WARNING",ABS(G149)&gt;1,"WATCH",TRUE,"NORMAL")</f>
        <v/>
      </c>
    </row>
    <row r="150">
      <c r="A150" s="12" t="n">
        <v>45175</v>
      </c>
      <c r="B150" s="13">
        <f>Raw_Data!B150</f>
        <v/>
      </c>
      <c r="C150" s="13">
        <f>AVERAGE(B121:B150)</f>
        <v/>
      </c>
      <c r="D150" s="13">
        <f>STDEV.S(B121:B150)</f>
        <v/>
      </c>
      <c r="E150" s="13">
        <f>C150+3*D150</f>
        <v/>
      </c>
      <c r="F150" s="13">
        <f>C150-3*D150</f>
        <v/>
      </c>
      <c r="G150" s="15">
        <f>IF(D150=0,"",(B150-C150)/D150)</f>
        <v/>
      </c>
      <c r="H150" s="13">
        <f>MEDIAN(B121:B150)</f>
        <v/>
      </c>
      <c r="I150" s="13">
        <f>MEDIAN(ABS(B121:B150-H150))</f>
        <v/>
      </c>
      <c r="J150" s="15">
        <f>IF(I150=0,"",0.6745*(B150-H150)/I150)</f>
        <v/>
      </c>
      <c r="K150" s="13">
        <f>0.2*B150+0.8*K149</f>
        <v/>
      </c>
      <c r="L150" s="13">
        <f>C150+3*D150*SQRT(0.2/(2-0.2))</f>
        <v/>
      </c>
      <c r="M150" s="13">
        <f>C150-3*D150*SQRT(0.2/(2-0.2))</f>
        <v/>
      </c>
      <c r="N150" s="13">
        <f>MAX(0,N149+(B150-C150-0.5*D150))</f>
        <v/>
      </c>
      <c r="O150" s="13">
        <f>MIN(0,O149+(B150-C150+0.5*D150))</f>
        <v/>
      </c>
      <c r="P150">
        <f>IF(ABS(G150)&gt;1,P149+1,0)</f>
        <v/>
      </c>
      <c r="Q150">
        <f>IFS(OR(ABS(G150)&gt;3,N150&gt;5*D150,ABS(O150)&gt;5*D150,P150&gt;=5),"CRITICAL",OR(ABS(G150)&gt;2,P150&gt;=3,ABS(J150)&gt;3.5),"EARLY WARNING",ABS(G150)&gt;1,"WATCH",TRUE,"NORMAL")</f>
        <v/>
      </c>
    </row>
    <row r="151">
      <c r="A151" s="12" t="n">
        <v>45176</v>
      </c>
      <c r="B151" s="13">
        <f>Raw_Data!B151</f>
        <v/>
      </c>
      <c r="C151" s="13">
        <f>AVERAGE(B122:B151)</f>
        <v/>
      </c>
      <c r="D151" s="13">
        <f>STDEV.S(B122:B151)</f>
        <v/>
      </c>
      <c r="E151" s="13">
        <f>C151+3*D151</f>
        <v/>
      </c>
      <c r="F151" s="13">
        <f>C151-3*D151</f>
        <v/>
      </c>
      <c r="G151" s="15">
        <f>IF(D151=0,"",(B151-C151)/D151)</f>
        <v/>
      </c>
      <c r="H151" s="13">
        <f>MEDIAN(B122:B151)</f>
        <v/>
      </c>
      <c r="I151" s="13">
        <f>MEDIAN(ABS(B122:B151-H151))</f>
        <v/>
      </c>
      <c r="J151" s="15">
        <f>IF(I151=0,"",0.6745*(B151-H151)/I151)</f>
        <v/>
      </c>
      <c r="K151" s="13">
        <f>0.2*B151+0.8*K150</f>
        <v/>
      </c>
      <c r="L151" s="13">
        <f>C151+3*D151*SQRT(0.2/(2-0.2))</f>
        <v/>
      </c>
      <c r="M151" s="13">
        <f>C151-3*D151*SQRT(0.2/(2-0.2))</f>
        <v/>
      </c>
      <c r="N151" s="13">
        <f>MAX(0,N150+(B151-C151-0.5*D151))</f>
        <v/>
      </c>
      <c r="O151" s="13">
        <f>MIN(0,O150+(B151-C151+0.5*D151))</f>
        <v/>
      </c>
      <c r="P151">
        <f>IF(ABS(G151)&gt;1,P150+1,0)</f>
        <v/>
      </c>
      <c r="Q151">
        <f>IFS(OR(ABS(G151)&gt;3,N151&gt;5*D151,ABS(O151)&gt;5*D151,P151&gt;=5),"CRITICAL",OR(ABS(G151)&gt;2,P151&gt;=3,ABS(J151)&gt;3.5),"EARLY WARNING",ABS(G151)&gt;1,"WATCH",TRUE,"NORMAL")</f>
        <v/>
      </c>
    </row>
    <row r="152">
      <c r="A152" s="12" t="n">
        <v>45177</v>
      </c>
      <c r="B152" s="13">
        <f>Raw_Data!B152</f>
        <v/>
      </c>
      <c r="C152" s="13">
        <f>AVERAGE(B123:B152)</f>
        <v/>
      </c>
      <c r="D152" s="13">
        <f>STDEV.S(B123:B152)</f>
        <v/>
      </c>
      <c r="E152" s="13">
        <f>C152+3*D152</f>
        <v/>
      </c>
      <c r="F152" s="13">
        <f>C152-3*D152</f>
        <v/>
      </c>
      <c r="G152" s="15">
        <f>IF(D152=0,"",(B152-C152)/D152)</f>
        <v/>
      </c>
      <c r="H152" s="13">
        <f>MEDIAN(B123:B152)</f>
        <v/>
      </c>
      <c r="I152" s="13">
        <f>MEDIAN(ABS(B123:B152-H152))</f>
        <v/>
      </c>
      <c r="J152" s="15">
        <f>IF(I152=0,"",0.6745*(B152-H152)/I152)</f>
        <v/>
      </c>
      <c r="K152" s="13">
        <f>0.2*B152+0.8*K151</f>
        <v/>
      </c>
      <c r="L152" s="13">
        <f>C152+3*D152*SQRT(0.2/(2-0.2))</f>
        <v/>
      </c>
      <c r="M152" s="13">
        <f>C152-3*D152*SQRT(0.2/(2-0.2))</f>
        <v/>
      </c>
      <c r="N152" s="13">
        <f>MAX(0,N151+(B152-C152-0.5*D152))</f>
        <v/>
      </c>
      <c r="O152" s="13">
        <f>MIN(0,O151+(B152-C152+0.5*D152))</f>
        <v/>
      </c>
      <c r="P152">
        <f>IF(ABS(G152)&gt;1,P151+1,0)</f>
        <v/>
      </c>
      <c r="Q152">
        <f>IFS(OR(ABS(G152)&gt;3,N152&gt;5*D152,ABS(O152)&gt;5*D152,P152&gt;=5),"CRITICAL",OR(ABS(G152)&gt;2,P152&gt;=3,ABS(J152)&gt;3.5),"EARLY WARNING",ABS(G152)&gt;1,"WATCH",TRUE,"NORMAL")</f>
        <v/>
      </c>
    </row>
    <row r="153">
      <c r="A153" s="12" t="n">
        <v>45178</v>
      </c>
      <c r="B153" s="13">
        <f>Raw_Data!B153</f>
        <v/>
      </c>
      <c r="C153" s="13">
        <f>AVERAGE(B124:B153)</f>
        <v/>
      </c>
      <c r="D153" s="13">
        <f>STDEV.S(B124:B153)</f>
        <v/>
      </c>
      <c r="E153" s="13">
        <f>C153+3*D153</f>
        <v/>
      </c>
      <c r="F153" s="13">
        <f>C153-3*D153</f>
        <v/>
      </c>
      <c r="G153" s="15">
        <f>IF(D153=0,"",(B153-C153)/D153)</f>
        <v/>
      </c>
      <c r="H153" s="13">
        <f>MEDIAN(B124:B153)</f>
        <v/>
      </c>
      <c r="I153" s="13">
        <f>MEDIAN(ABS(B124:B153-H153))</f>
        <v/>
      </c>
      <c r="J153" s="15">
        <f>IF(I153=0,"",0.6745*(B153-H153)/I153)</f>
        <v/>
      </c>
      <c r="K153" s="13">
        <f>0.2*B153+0.8*K152</f>
        <v/>
      </c>
      <c r="L153" s="13">
        <f>C153+3*D153*SQRT(0.2/(2-0.2))</f>
        <v/>
      </c>
      <c r="M153" s="13">
        <f>C153-3*D153*SQRT(0.2/(2-0.2))</f>
        <v/>
      </c>
      <c r="N153" s="13">
        <f>MAX(0,N152+(B153-C153-0.5*D153))</f>
        <v/>
      </c>
      <c r="O153" s="13">
        <f>MIN(0,O152+(B153-C153+0.5*D153))</f>
        <v/>
      </c>
      <c r="P153">
        <f>IF(ABS(G153)&gt;1,P152+1,0)</f>
        <v/>
      </c>
      <c r="Q153">
        <f>IFS(OR(ABS(G153)&gt;3,N153&gt;5*D153,ABS(O153)&gt;5*D153,P153&gt;=5),"CRITICAL",OR(ABS(G153)&gt;2,P153&gt;=3,ABS(J153)&gt;3.5),"EARLY WARNING",ABS(G153)&gt;1,"WATCH",TRUE,"NORMAL")</f>
        <v/>
      </c>
    </row>
    <row r="154">
      <c r="A154" s="12" t="n">
        <v>45179</v>
      </c>
      <c r="B154" s="13">
        <f>Raw_Data!B154</f>
        <v/>
      </c>
      <c r="C154" s="13">
        <f>AVERAGE(B125:B154)</f>
        <v/>
      </c>
      <c r="D154" s="13">
        <f>STDEV.S(B125:B154)</f>
        <v/>
      </c>
      <c r="E154" s="13">
        <f>C154+3*D154</f>
        <v/>
      </c>
      <c r="F154" s="13">
        <f>C154-3*D154</f>
        <v/>
      </c>
      <c r="G154" s="15">
        <f>IF(D154=0,"",(B154-C154)/D154)</f>
        <v/>
      </c>
      <c r="H154" s="13">
        <f>MEDIAN(B125:B154)</f>
        <v/>
      </c>
      <c r="I154" s="13">
        <f>MEDIAN(ABS(B125:B154-H154))</f>
        <v/>
      </c>
      <c r="J154" s="15">
        <f>IF(I154=0,"",0.6745*(B154-H154)/I154)</f>
        <v/>
      </c>
      <c r="K154" s="13">
        <f>0.2*B154+0.8*K153</f>
        <v/>
      </c>
      <c r="L154" s="13">
        <f>C154+3*D154*SQRT(0.2/(2-0.2))</f>
        <v/>
      </c>
      <c r="M154" s="13">
        <f>C154-3*D154*SQRT(0.2/(2-0.2))</f>
        <v/>
      </c>
      <c r="N154" s="13">
        <f>MAX(0,N153+(B154-C154-0.5*D154))</f>
        <v/>
      </c>
      <c r="O154" s="13">
        <f>MIN(0,O153+(B154-C154+0.5*D154))</f>
        <v/>
      </c>
      <c r="P154">
        <f>IF(ABS(G154)&gt;1,P153+1,0)</f>
        <v/>
      </c>
      <c r="Q154">
        <f>IFS(OR(ABS(G154)&gt;3,N154&gt;5*D154,ABS(O154)&gt;5*D154,P154&gt;=5),"CRITICAL",OR(ABS(G154)&gt;2,P154&gt;=3,ABS(J154)&gt;3.5),"EARLY WARNING",ABS(G154)&gt;1,"WATCH",TRUE,"NORMAL")</f>
        <v/>
      </c>
    </row>
    <row r="155">
      <c r="A155" s="12" t="n">
        <v>45180</v>
      </c>
      <c r="B155" s="13">
        <f>Raw_Data!B155</f>
        <v/>
      </c>
      <c r="C155" s="13">
        <f>AVERAGE(B126:B155)</f>
        <v/>
      </c>
      <c r="D155" s="13">
        <f>STDEV.S(B126:B155)</f>
        <v/>
      </c>
      <c r="E155" s="13">
        <f>C155+3*D155</f>
        <v/>
      </c>
      <c r="F155" s="13">
        <f>C155-3*D155</f>
        <v/>
      </c>
      <c r="G155" s="15">
        <f>IF(D155=0,"",(B155-C155)/D155)</f>
        <v/>
      </c>
      <c r="H155" s="13">
        <f>MEDIAN(B126:B155)</f>
        <v/>
      </c>
      <c r="I155" s="13">
        <f>MEDIAN(ABS(B126:B155-H155))</f>
        <v/>
      </c>
      <c r="J155" s="15">
        <f>IF(I155=0,"",0.6745*(B155-H155)/I155)</f>
        <v/>
      </c>
      <c r="K155" s="13">
        <f>0.2*B155+0.8*K154</f>
        <v/>
      </c>
      <c r="L155" s="13">
        <f>C155+3*D155*SQRT(0.2/(2-0.2))</f>
        <v/>
      </c>
      <c r="M155" s="13">
        <f>C155-3*D155*SQRT(0.2/(2-0.2))</f>
        <v/>
      </c>
      <c r="N155" s="13">
        <f>MAX(0,N154+(B155-C155-0.5*D155))</f>
        <v/>
      </c>
      <c r="O155" s="13">
        <f>MIN(0,O154+(B155-C155+0.5*D155))</f>
        <v/>
      </c>
      <c r="P155">
        <f>IF(ABS(G155)&gt;1,P154+1,0)</f>
        <v/>
      </c>
      <c r="Q155">
        <f>IFS(OR(ABS(G155)&gt;3,N155&gt;5*D155,ABS(O155)&gt;5*D155,P155&gt;=5),"CRITICAL",OR(ABS(G155)&gt;2,P155&gt;=3,ABS(J155)&gt;3.5),"EARLY WARNING",ABS(G155)&gt;1,"WATCH",TRUE,"NORMAL")</f>
        <v/>
      </c>
    </row>
    <row r="156">
      <c r="A156" s="12" t="n">
        <v>45181</v>
      </c>
      <c r="B156" s="13">
        <f>Raw_Data!B156</f>
        <v/>
      </c>
      <c r="C156" s="13">
        <f>AVERAGE(B127:B156)</f>
        <v/>
      </c>
      <c r="D156" s="13">
        <f>STDEV.S(B127:B156)</f>
        <v/>
      </c>
      <c r="E156" s="13">
        <f>C156+3*D156</f>
        <v/>
      </c>
      <c r="F156" s="13">
        <f>C156-3*D156</f>
        <v/>
      </c>
      <c r="G156" s="15">
        <f>IF(D156=0,"",(B156-C156)/D156)</f>
        <v/>
      </c>
      <c r="H156" s="13">
        <f>MEDIAN(B127:B156)</f>
        <v/>
      </c>
      <c r="I156" s="13">
        <f>MEDIAN(ABS(B127:B156-H156))</f>
        <v/>
      </c>
      <c r="J156" s="15">
        <f>IF(I156=0,"",0.6745*(B156-H156)/I156)</f>
        <v/>
      </c>
      <c r="K156" s="13">
        <f>0.2*B156+0.8*K155</f>
        <v/>
      </c>
      <c r="L156" s="13">
        <f>C156+3*D156*SQRT(0.2/(2-0.2))</f>
        <v/>
      </c>
      <c r="M156" s="13">
        <f>C156-3*D156*SQRT(0.2/(2-0.2))</f>
        <v/>
      </c>
      <c r="N156" s="13">
        <f>MAX(0,N155+(B156-C156-0.5*D156))</f>
        <v/>
      </c>
      <c r="O156" s="13">
        <f>MIN(0,O155+(B156-C156+0.5*D156))</f>
        <v/>
      </c>
      <c r="P156">
        <f>IF(ABS(G156)&gt;1,P155+1,0)</f>
        <v/>
      </c>
      <c r="Q156">
        <f>IFS(OR(ABS(G156)&gt;3,N156&gt;5*D156,ABS(O156)&gt;5*D156,P156&gt;=5),"CRITICAL",OR(ABS(G156)&gt;2,P156&gt;=3,ABS(J156)&gt;3.5),"EARLY WARNING",ABS(G156)&gt;1,"WATCH",TRUE,"NORMAL")</f>
        <v/>
      </c>
    </row>
    <row r="157">
      <c r="A157" s="12" t="n">
        <v>45182</v>
      </c>
      <c r="B157" s="13">
        <f>Raw_Data!B157</f>
        <v/>
      </c>
      <c r="C157" s="13">
        <f>AVERAGE(B128:B157)</f>
        <v/>
      </c>
      <c r="D157" s="13">
        <f>STDEV.S(B128:B157)</f>
        <v/>
      </c>
      <c r="E157" s="13">
        <f>C157+3*D157</f>
        <v/>
      </c>
      <c r="F157" s="13">
        <f>C157-3*D157</f>
        <v/>
      </c>
      <c r="G157" s="15">
        <f>IF(D157=0,"",(B157-C157)/D157)</f>
        <v/>
      </c>
      <c r="H157" s="13">
        <f>MEDIAN(B128:B157)</f>
        <v/>
      </c>
      <c r="I157" s="13">
        <f>MEDIAN(ABS(B128:B157-H157))</f>
        <v/>
      </c>
      <c r="J157" s="15">
        <f>IF(I157=0,"",0.6745*(B157-H157)/I157)</f>
        <v/>
      </c>
      <c r="K157" s="13">
        <f>0.2*B157+0.8*K156</f>
        <v/>
      </c>
      <c r="L157" s="13">
        <f>C157+3*D157*SQRT(0.2/(2-0.2))</f>
        <v/>
      </c>
      <c r="M157" s="13">
        <f>C157-3*D157*SQRT(0.2/(2-0.2))</f>
        <v/>
      </c>
      <c r="N157" s="13">
        <f>MAX(0,N156+(B157-C157-0.5*D157))</f>
        <v/>
      </c>
      <c r="O157" s="13">
        <f>MIN(0,O156+(B157-C157+0.5*D157))</f>
        <v/>
      </c>
      <c r="P157">
        <f>IF(ABS(G157)&gt;1,P156+1,0)</f>
        <v/>
      </c>
      <c r="Q157">
        <f>IFS(OR(ABS(G157)&gt;3,N157&gt;5*D157,ABS(O157)&gt;5*D157,P157&gt;=5),"CRITICAL",OR(ABS(G157)&gt;2,P157&gt;=3,ABS(J157)&gt;3.5),"EARLY WARNING",ABS(G157)&gt;1,"WATCH",TRUE,"NORMAL")</f>
        <v/>
      </c>
    </row>
    <row r="158">
      <c r="A158" s="12" t="n">
        <v>45183</v>
      </c>
      <c r="B158" s="13">
        <f>Raw_Data!B158</f>
        <v/>
      </c>
      <c r="C158" s="13">
        <f>AVERAGE(B129:B158)</f>
        <v/>
      </c>
      <c r="D158" s="13">
        <f>STDEV.S(B129:B158)</f>
        <v/>
      </c>
      <c r="E158" s="13">
        <f>C158+3*D158</f>
        <v/>
      </c>
      <c r="F158" s="13">
        <f>C158-3*D158</f>
        <v/>
      </c>
      <c r="G158" s="15">
        <f>IF(D158=0,"",(B158-C158)/D158)</f>
        <v/>
      </c>
      <c r="H158" s="13">
        <f>MEDIAN(B129:B158)</f>
        <v/>
      </c>
      <c r="I158" s="13">
        <f>MEDIAN(ABS(B129:B158-H158))</f>
        <v/>
      </c>
      <c r="J158" s="15">
        <f>IF(I158=0,"",0.6745*(B158-H158)/I158)</f>
        <v/>
      </c>
      <c r="K158" s="13">
        <f>0.2*B158+0.8*K157</f>
        <v/>
      </c>
      <c r="L158" s="13">
        <f>C158+3*D158*SQRT(0.2/(2-0.2))</f>
        <v/>
      </c>
      <c r="M158" s="13">
        <f>C158-3*D158*SQRT(0.2/(2-0.2))</f>
        <v/>
      </c>
      <c r="N158" s="13">
        <f>MAX(0,N157+(B158-C158-0.5*D158))</f>
        <v/>
      </c>
      <c r="O158" s="13">
        <f>MIN(0,O157+(B158-C158+0.5*D158))</f>
        <v/>
      </c>
      <c r="P158">
        <f>IF(ABS(G158)&gt;1,P157+1,0)</f>
        <v/>
      </c>
      <c r="Q158">
        <f>IFS(OR(ABS(G158)&gt;3,N158&gt;5*D158,ABS(O158)&gt;5*D158,P158&gt;=5),"CRITICAL",OR(ABS(G158)&gt;2,P158&gt;=3,ABS(J158)&gt;3.5),"EARLY WARNING",ABS(G158)&gt;1,"WATCH",TRUE,"NORMAL")</f>
        <v/>
      </c>
    </row>
    <row r="159">
      <c r="A159" s="12" t="n">
        <v>45184</v>
      </c>
      <c r="B159" s="13">
        <f>Raw_Data!B159</f>
        <v/>
      </c>
      <c r="C159" s="13">
        <f>AVERAGE(B130:B159)</f>
        <v/>
      </c>
      <c r="D159" s="13">
        <f>STDEV.S(B130:B159)</f>
        <v/>
      </c>
      <c r="E159" s="13">
        <f>C159+3*D159</f>
        <v/>
      </c>
      <c r="F159" s="13">
        <f>C159-3*D159</f>
        <v/>
      </c>
      <c r="G159" s="15">
        <f>IF(D159=0,"",(B159-C159)/D159)</f>
        <v/>
      </c>
      <c r="H159" s="13">
        <f>MEDIAN(B130:B159)</f>
        <v/>
      </c>
      <c r="I159" s="13">
        <f>MEDIAN(ABS(B130:B159-H159))</f>
        <v/>
      </c>
      <c r="J159" s="15">
        <f>IF(I159=0,"",0.6745*(B159-H159)/I159)</f>
        <v/>
      </c>
      <c r="K159" s="13">
        <f>0.2*B159+0.8*K158</f>
        <v/>
      </c>
      <c r="L159" s="13">
        <f>C159+3*D159*SQRT(0.2/(2-0.2))</f>
        <v/>
      </c>
      <c r="M159" s="13">
        <f>C159-3*D159*SQRT(0.2/(2-0.2))</f>
        <v/>
      </c>
      <c r="N159" s="13">
        <f>MAX(0,N158+(B159-C159-0.5*D159))</f>
        <v/>
      </c>
      <c r="O159" s="13">
        <f>MIN(0,O158+(B159-C159+0.5*D159))</f>
        <v/>
      </c>
      <c r="P159">
        <f>IF(ABS(G159)&gt;1,P158+1,0)</f>
        <v/>
      </c>
      <c r="Q159">
        <f>IFS(OR(ABS(G159)&gt;3,N159&gt;5*D159,ABS(O159)&gt;5*D159,P159&gt;=5),"CRITICAL",OR(ABS(G159)&gt;2,P159&gt;=3,ABS(J159)&gt;3.5),"EARLY WARNING",ABS(G159)&gt;1,"WATCH",TRUE,"NORMAL")</f>
        <v/>
      </c>
    </row>
    <row r="160">
      <c r="A160" s="12" t="n">
        <v>45185</v>
      </c>
      <c r="B160" s="13">
        <f>Raw_Data!B160</f>
        <v/>
      </c>
      <c r="C160" s="13">
        <f>AVERAGE(B131:B160)</f>
        <v/>
      </c>
      <c r="D160" s="13">
        <f>STDEV.S(B131:B160)</f>
        <v/>
      </c>
      <c r="E160" s="13">
        <f>C160+3*D160</f>
        <v/>
      </c>
      <c r="F160" s="13">
        <f>C160-3*D160</f>
        <v/>
      </c>
      <c r="G160" s="15">
        <f>IF(D160=0,"",(B160-C160)/D160)</f>
        <v/>
      </c>
      <c r="H160" s="13">
        <f>MEDIAN(B131:B160)</f>
        <v/>
      </c>
      <c r="I160" s="13">
        <f>MEDIAN(ABS(B131:B160-H160))</f>
        <v/>
      </c>
      <c r="J160" s="15">
        <f>IF(I160=0,"",0.6745*(B160-H160)/I160)</f>
        <v/>
      </c>
      <c r="K160" s="13">
        <f>0.2*B160+0.8*K159</f>
        <v/>
      </c>
      <c r="L160" s="13">
        <f>C160+3*D160*SQRT(0.2/(2-0.2))</f>
        <v/>
      </c>
      <c r="M160" s="13">
        <f>C160-3*D160*SQRT(0.2/(2-0.2))</f>
        <v/>
      </c>
      <c r="N160" s="13">
        <f>MAX(0,N159+(B160-C160-0.5*D160))</f>
        <v/>
      </c>
      <c r="O160" s="13">
        <f>MIN(0,O159+(B160-C160+0.5*D160))</f>
        <v/>
      </c>
      <c r="P160">
        <f>IF(ABS(G160)&gt;1,P159+1,0)</f>
        <v/>
      </c>
      <c r="Q160">
        <f>IFS(OR(ABS(G160)&gt;3,N160&gt;5*D160,ABS(O160)&gt;5*D160,P160&gt;=5),"CRITICAL",OR(ABS(G160)&gt;2,P160&gt;=3,ABS(J160)&gt;3.5),"EARLY WARNING",ABS(G160)&gt;1,"WATCH",TRUE,"NORMAL")</f>
        <v/>
      </c>
    </row>
    <row r="161">
      <c r="A161" s="12" t="n">
        <v>45186</v>
      </c>
      <c r="B161" s="13">
        <f>Raw_Data!B161</f>
        <v/>
      </c>
      <c r="C161" s="13">
        <f>AVERAGE(B132:B161)</f>
        <v/>
      </c>
      <c r="D161" s="13">
        <f>STDEV.S(B132:B161)</f>
        <v/>
      </c>
      <c r="E161" s="13">
        <f>C161+3*D161</f>
        <v/>
      </c>
      <c r="F161" s="13">
        <f>C161-3*D161</f>
        <v/>
      </c>
      <c r="G161" s="15">
        <f>IF(D161=0,"",(B161-C161)/D161)</f>
        <v/>
      </c>
      <c r="H161" s="13">
        <f>MEDIAN(B132:B161)</f>
        <v/>
      </c>
      <c r="I161" s="13">
        <f>MEDIAN(ABS(B132:B161-H161))</f>
        <v/>
      </c>
      <c r="J161" s="15">
        <f>IF(I161=0,"",0.6745*(B161-H161)/I161)</f>
        <v/>
      </c>
      <c r="K161" s="13">
        <f>0.2*B161+0.8*K160</f>
        <v/>
      </c>
      <c r="L161" s="13">
        <f>C161+3*D161*SQRT(0.2/(2-0.2))</f>
        <v/>
      </c>
      <c r="M161" s="13">
        <f>C161-3*D161*SQRT(0.2/(2-0.2))</f>
        <v/>
      </c>
      <c r="N161" s="13">
        <f>MAX(0,N160+(B161-C161-0.5*D161))</f>
        <v/>
      </c>
      <c r="O161" s="13">
        <f>MIN(0,O160+(B161-C161+0.5*D161))</f>
        <v/>
      </c>
      <c r="P161">
        <f>IF(ABS(G161)&gt;1,P160+1,0)</f>
        <v/>
      </c>
      <c r="Q161">
        <f>IFS(OR(ABS(G161)&gt;3,N161&gt;5*D161,ABS(O161)&gt;5*D161,P161&gt;=5),"CRITICAL",OR(ABS(G161)&gt;2,P161&gt;=3,ABS(J161)&gt;3.5),"EARLY WARNING",ABS(G161)&gt;1,"WATCH",TRUE,"NORMAL")</f>
        <v/>
      </c>
    </row>
    <row r="162">
      <c r="A162" s="12" t="n">
        <v>45187</v>
      </c>
      <c r="B162" s="13">
        <f>Raw_Data!B162</f>
        <v/>
      </c>
      <c r="C162" s="13">
        <f>AVERAGE(B133:B162)</f>
        <v/>
      </c>
      <c r="D162" s="13">
        <f>STDEV.S(B133:B162)</f>
        <v/>
      </c>
      <c r="E162" s="13">
        <f>C162+3*D162</f>
        <v/>
      </c>
      <c r="F162" s="13">
        <f>C162-3*D162</f>
        <v/>
      </c>
      <c r="G162" s="15">
        <f>IF(D162=0,"",(B162-C162)/D162)</f>
        <v/>
      </c>
      <c r="H162" s="13">
        <f>MEDIAN(B133:B162)</f>
        <v/>
      </c>
      <c r="I162" s="13">
        <f>MEDIAN(ABS(B133:B162-H162))</f>
        <v/>
      </c>
      <c r="J162" s="15">
        <f>IF(I162=0,"",0.6745*(B162-H162)/I162)</f>
        <v/>
      </c>
      <c r="K162" s="13">
        <f>0.2*B162+0.8*K161</f>
        <v/>
      </c>
      <c r="L162" s="13">
        <f>C162+3*D162*SQRT(0.2/(2-0.2))</f>
        <v/>
      </c>
      <c r="M162" s="13">
        <f>C162-3*D162*SQRT(0.2/(2-0.2))</f>
        <v/>
      </c>
      <c r="N162" s="13">
        <f>MAX(0,N161+(B162-C162-0.5*D162))</f>
        <v/>
      </c>
      <c r="O162" s="13">
        <f>MIN(0,O161+(B162-C162+0.5*D162))</f>
        <v/>
      </c>
      <c r="P162">
        <f>IF(ABS(G162)&gt;1,P161+1,0)</f>
        <v/>
      </c>
      <c r="Q162">
        <f>IFS(OR(ABS(G162)&gt;3,N162&gt;5*D162,ABS(O162)&gt;5*D162,P162&gt;=5),"CRITICAL",OR(ABS(G162)&gt;2,P162&gt;=3,ABS(J162)&gt;3.5),"EARLY WARNING",ABS(G162)&gt;1,"WATCH",TRUE,"NORMAL")</f>
        <v/>
      </c>
    </row>
    <row r="163">
      <c r="A163" s="12" t="n">
        <v>45188</v>
      </c>
      <c r="B163" s="13">
        <f>Raw_Data!B163</f>
        <v/>
      </c>
      <c r="C163" s="13">
        <f>AVERAGE(B134:B163)</f>
        <v/>
      </c>
      <c r="D163" s="13">
        <f>STDEV.S(B134:B163)</f>
        <v/>
      </c>
      <c r="E163" s="13">
        <f>C163+3*D163</f>
        <v/>
      </c>
      <c r="F163" s="13">
        <f>C163-3*D163</f>
        <v/>
      </c>
      <c r="G163" s="15">
        <f>IF(D163=0,"",(B163-C163)/D163)</f>
        <v/>
      </c>
      <c r="H163" s="13">
        <f>MEDIAN(B134:B163)</f>
        <v/>
      </c>
      <c r="I163" s="13">
        <f>MEDIAN(ABS(B134:B163-H163))</f>
        <v/>
      </c>
      <c r="J163" s="15">
        <f>IF(I163=0,"",0.6745*(B163-H163)/I163)</f>
        <v/>
      </c>
      <c r="K163" s="13">
        <f>0.2*B163+0.8*K162</f>
        <v/>
      </c>
      <c r="L163" s="13">
        <f>C163+3*D163*SQRT(0.2/(2-0.2))</f>
        <v/>
      </c>
      <c r="M163" s="13">
        <f>C163-3*D163*SQRT(0.2/(2-0.2))</f>
        <v/>
      </c>
      <c r="N163" s="13">
        <f>MAX(0,N162+(B163-C163-0.5*D163))</f>
        <v/>
      </c>
      <c r="O163" s="13">
        <f>MIN(0,O162+(B163-C163+0.5*D163))</f>
        <v/>
      </c>
      <c r="P163">
        <f>IF(ABS(G163)&gt;1,P162+1,0)</f>
        <v/>
      </c>
      <c r="Q163">
        <f>IFS(OR(ABS(G163)&gt;3,N163&gt;5*D163,ABS(O163)&gt;5*D163,P163&gt;=5),"CRITICAL",OR(ABS(G163)&gt;2,P163&gt;=3,ABS(J163)&gt;3.5),"EARLY WARNING",ABS(G163)&gt;1,"WATCH",TRUE,"NORMAL")</f>
        <v/>
      </c>
    </row>
    <row r="164">
      <c r="A164" s="12" t="n">
        <v>45189</v>
      </c>
      <c r="B164" s="13">
        <f>Raw_Data!B164</f>
        <v/>
      </c>
      <c r="C164" s="13">
        <f>AVERAGE(B135:B164)</f>
        <v/>
      </c>
      <c r="D164" s="13">
        <f>STDEV.S(B135:B164)</f>
        <v/>
      </c>
      <c r="E164" s="13">
        <f>C164+3*D164</f>
        <v/>
      </c>
      <c r="F164" s="13">
        <f>C164-3*D164</f>
        <v/>
      </c>
      <c r="G164" s="15">
        <f>IF(D164=0,"",(B164-C164)/D164)</f>
        <v/>
      </c>
      <c r="H164" s="13">
        <f>MEDIAN(B135:B164)</f>
        <v/>
      </c>
      <c r="I164" s="13">
        <f>MEDIAN(ABS(B135:B164-H164))</f>
        <v/>
      </c>
      <c r="J164" s="15">
        <f>IF(I164=0,"",0.6745*(B164-H164)/I164)</f>
        <v/>
      </c>
      <c r="K164" s="13">
        <f>0.2*B164+0.8*K163</f>
        <v/>
      </c>
      <c r="L164" s="13">
        <f>C164+3*D164*SQRT(0.2/(2-0.2))</f>
        <v/>
      </c>
      <c r="M164" s="13">
        <f>C164-3*D164*SQRT(0.2/(2-0.2))</f>
        <v/>
      </c>
      <c r="N164" s="13">
        <f>MAX(0,N163+(B164-C164-0.5*D164))</f>
        <v/>
      </c>
      <c r="O164" s="13">
        <f>MIN(0,O163+(B164-C164+0.5*D164))</f>
        <v/>
      </c>
      <c r="P164">
        <f>IF(ABS(G164)&gt;1,P163+1,0)</f>
        <v/>
      </c>
      <c r="Q164">
        <f>IFS(OR(ABS(G164)&gt;3,N164&gt;5*D164,ABS(O164)&gt;5*D164,P164&gt;=5),"CRITICAL",OR(ABS(G164)&gt;2,P164&gt;=3,ABS(J164)&gt;3.5),"EARLY WARNING",ABS(G164)&gt;1,"WATCH",TRUE,"NORMAL")</f>
        <v/>
      </c>
    </row>
    <row r="165">
      <c r="A165" s="12" t="n">
        <v>45190</v>
      </c>
      <c r="B165" s="13">
        <f>Raw_Data!B165</f>
        <v/>
      </c>
      <c r="C165" s="13">
        <f>AVERAGE(B136:B165)</f>
        <v/>
      </c>
      <c r="D165" s="13">
        <f>STDEV.S(B136:B165)</f>
        <v/>
      </c>
      <c r="E165" s="13">
        <f>C165+3*D165</f>
        <v/>
      </c>
      <c r="F165" s="13">
        <f>C165-3*D165</f>
        <v/>
      </c>
      <c r="G165" s="15">
        <f>IF(D165=0,"",(B165-C165)/D165)</f>
        <v/>
      </c>
      <c r="H165" s="13">
        <f>MEDIAN(B136:B165)</f>
        <v/>
      </c>
      <c r="I165" s="13">
        <f>MEDIAN(ABS(B136:B165-H165))</f>
        <v/>
      </c>
      <c r="J165" s="15">
        <f>IF(I165=0,"",0.6745*(B165-H165)/I165)</f>
        <v/>
      </c>
      <c r="K165" s="13">
        <f>0.2*B165+0.8*K164</f>
        <v/>
      </c>
      <c r="L165" s="13">
        <f>C165+3*D165*SQRT(0.2/(2-0.2))</f>
        <v/>
      </c>
      <c r="M165" s="13">
        <f>C165-3*D165*SQRT(0.2/(2-0.2))</f>
        <v/>
      </c>
      <c r="N165" s="13">
        <f>MAX(0,N164+(B165-C165-0.5*D165))</f>
        <v/>
      </c>
      <c r="O165" s="13">
        <f>MIN(0,O164+(B165-C165+0.5*D165))</f>
        <v/>
      </c>
      <c r="P165">
        <f>IF(ABS(G165)&gt;1,P164+1,0)</f>
        <v/>
      </c>
      <c r="Q165">
        <f>IFS(OR(ABS(G165)&gt;3,N165&gt;5*D165,ABS(O165)&gt;5*D165,P165&gt;=5),"CRITICAL",OR(ABS(G165)&gt;2,P165&gt;=3,ABS(J165)&gt;3.5),"EARLY WARNING",ABS(G165)&gt;1,"WATCH",TRUE,"NORMAL")</f>
        <v/>
      </c>
    </row>
    <row r="166">
      <c r="A166" s="12" t="n">
        <v>45191</v>
      </c>
      <c r="B166" s="13">
        <f>Raw_Data!B166</f>
        <v/>
      </c>
      <c r="C166" s="13">
        <f>AVERAGE(B137:B166)</f>
        <v/>
      </c>
      <c r="D166" s="13">
        <f>STDEV.S(B137:B166)</f>
        <v/>
      </c>
      <c r="E166" s="13">
        <f>C166+3*D166</f>
        <v/>
      </c>
      <c r="F166" s="13">
        <f>C166-3*D166</f>
        <v/>
      </c>
      <c r="G166" s="15">
        <f>IF(D166=0,"",(B166-C166)/D166)</f>
        <v/>
      </c>
      <c r="H166" s="13">
        <f>MEDIAN(B137:B166)</f>
        <v/>
      </c>
      <c r="I166" s="13">
        <f>MEDIAN(ABS(B137:B166-H166))</f>
        <v/>
      </c>
      <c r="J166" s="15">
        <f>IF(I166=0,"",0.6745*(B166-H166)/I166)</f>
        <v/>
      </c>
      <c r="K166" s="13">
        <f>0.2*B166+0.8*K165</f>
        <v/>
      </c>
      <c r="L166" s="13">
        <f>C166+3*D166*SQRT(0.2/(2-0.2))</f>
        <v/>
      </c>
      <c r="M166" s="13">
        <f>C166-3*D166*SQRT(0.2/(2-0.2))</f>
        <v/>
      </c>
      <c r="N166" s="13">
        <f>MAX(0,N165+(B166-C166-0.5*D166))</f>
        <v/>
      </c>
      <c r="O166" s="13">
        <f>MIN(0,O165+(B166-C166+0.5*D166))</f>
        <v/>
      </c>
      <c r="P166">
        <f>IF(ABS(G166)&gt;1,P165+1,0)</f>
        <v/>
      </c>
      <c r="Q166">
        <f>IFS(OR(ABS(G166)&gt;3,N166&gt;5*D166,ABS(O166)&gt;5*D166,P166&gt;=5),"CRITICAL",OR(ABS(G166)&gt;2,P166&gt;=3,ABS(J166)&gt;3.5),"EARLY WARNING",ABS(G166)&gt;1,"WATCH",TRUE,"NORMAL")</f>
        <v/>
      </c>
    </row>
    <row r="167">
      <c r="A167" s="12" t="n">
        <v>45192</v>
      </c>
      <c r="B167" s="13">
        <f>Raw_Data!B167</f>
        <v/>
      </c>
      <c r="C167" s="13">
        <f>AVERAGE(B138:B167)</f>
        <v/>
      </c>
      <c r="D167" s="13">
        <f>STDEV.S(B138:B167)</f>
        <v/>
      </c>
      <c r="E167" s="13">
        <f>C167+3*D167</f>
        <v/>
      </c>
      <c r="F167" s="13">
        <f>C167-3*D167</f>
        <v/>
      </c>
      <c r="G167" s="15">
        <f>IF(D167=0,"",(B167-C167)/D167)</f>
        <v/>
      </c>
      <c r="H167" s="13">
        <f>MEDIAN(B138:B167)</f>
        <v/>
      </c>
      <c r="I167" s="13">
        <f>MEDIAN(ABS(B138:B167-H167))</f>
        <v/>
      </c>
      <c r="J167" s="15">
        <f>IF(I167=0,"",0.6745*(B167-H167)/I167)</f>
        <v/>
      </c>
      <c r="K167" s="13">
        <f>0.2*B167+0.8*K166</f>
        <v/>
      </c>
      <c r="L167" s="13">
        <f>C167+3*D167*SQRT(0.2/(2-0.2))</f>
        <v/>
      </c>
      <c r="M167" s="13">
        <f>C167-3*D167*SQRT(0.2/(2-0.2))</f>
        <v/>
      </c>
      <c r="N167" s="13">
        <f>MAX(0,N166+(B167-C167-0.5*D167))</f>
        <v/>
      </c>
      <c r="O167" s="13">
        <f>MIN(0,O166+(B167-C167+0.5*D167))</f>
        <v/>
      </c>
      <c r="P167">
        <f>IF(ABS(G167)&gt;1,P166+1,0)</f>
        <v/>
      </c>
      <c r="Q167">
        <f>IFS(OR(ABS(G167)&gt;3,N167&gt;5*D167,ABS(O167)&gt;5*D167,P167&gt;=5),"CRITICAL",OR(ABS(G167)&gt;2,P167&gt;=3,ABS(J167)&gt;3.5),"EARLY WARNING",ABS(G167)&gt;1,"WATCH",TRUE,"NORMAL")</f>
        <v/>
      </c>
    </row>
    <row r="168">
      <c r="A168" s="12" t="n">
        <v>45193</v>
      </c>
      <c r="B168" s="13">
        <f>Raw_Data!B168</f>
        <v/>
      </c>
      <c r="C168" s="13">
        <f>AVERAGE(B139:B168)</f>
        <v/>
      </c>
      <c r="D168" s="13">
        <f>STDEV.S(B139:B168)</f>
        <v/>
      </c>
      <c r="E168" s="13">
        <f>C168+3*D168</f>
        <v/>
      </c>
      <c r="F168" s="13">
        <f>C168-3*D168</f>
        <v/>
      </c>
      <c r="G168" s="15">
        <f>IF(D168=0,"",(B168-C168)/D168)</f>
        <v/>
      </c>
      <c r="H168" s="13">
        <f>MEDIAN(B139:B168)</f>
        <v/>
      </c>
      <c r="I168" s="13">
        <f>MEDIAN(ABS(B139:B168-H168))</f>
        <v/>
      </c>
      <c r="J168" s="15">
        <f>IF(I168=0,"",0.6745*(B168-H168)/I168)</f>
        <v/>
      </c>
      <c r="K168" s="13">
        <f>0.2*B168+0.8*K167</f>
        <v/>
      </c>
      <c r="L168" s="13">
        <f>C168+3*D168*SQRT(0.2/(2-0.2))</f>
        <v/>
      </c>
      <c r="M168" s="13">
        <f>C168-3*D168*SQRT(0.2/(2-0.2))</f>
        <v/>
      </c>
      <c r="N168" s="13">
        <f>MAX(0,N167+(B168-C168-0.5*D168))</f>
        <v/>
      </c>
      <c r="O168" s="13">
        <f>MIN(0,O167+(B168-C168+0.5*D168))</f>
        <v/>
      </c>
      <c r="P168">
        <f>IF(ABS(G168)&gt;1,P167+1,0)</f>
        <v/>
      </c>
      <c r="Q168">
        <f>IFS(OR(ABS(G168)&gt;3,N168&gt;5*D168,ABS(O168)&gt;5*D168,P168&gt;=5),"CRITICAL",OR(ABS(G168)&gt;2,P168&gt;=3,ABS(J168)&gt;3.5),"EARLY WARNING",ABS(G168)&gt;1,"WATCH",TRUE,"NORMAL")</f>
        <v/>
      </c>
    </row>
    <row r="169">
      <c r="A169" s="12" t="n">
        <v>45194</v>
      </c>
      <c r="B169" s="13">
        <f>Raw_Data!B169</f>
        <v/>
      </c>
      <c r="C169" s="13">
        <f>AVERAGE(B140:B169)</f>
        <v/>
      </c>
      <c r="D169" s="13">
        <f>STDEV.S(B140:B169)</f>
        <v/>
      </c>
      <c r="E169" s="13">
        <f>C169+3*D169</f>
        <v/>
      </c>
      <c r="F169" s="13">
        <f>C169-3*D169</f>
        <v/>
      </c>
      <c r="G169" s="15">
        <f>IF(D169=0,"",(B169-C169)/D169)</f>
        <v/>
      </c>
      <c r="H169" s="13">
        <f>MEDIAN(B140:B169)</f>
        <v/>
      </c>
      <c r="I169" s="13">
        <f>MEDIAN(ABS(B140:B169-H169))</f>
        <v/>
      </c>
      <c r="J169" s="15">
        <f>IF(I169=0,"",0.6745*(B169-H169)/I169)</f>
        <v/>
      </c>
      <c r="K169" s="13">
        <f>0.2*B169+0.8*K168</f>
        <v/>
      </c>
      <c r="L169" s="13">
        <f>C169+3*D169*SQRT(0.2/(2-0.2))</f>
        <v/>
      </c>
      <c r="M169" s="13">
        <f>C169-3*D169*SQRT(0.2/(2-0.2))</f>
        <v/>
      </c>
      <c r="N169" s="13">
        <f>MAX(0,N168+(B169-C169-0.5*D169))</f>
        <v/>
      </c>
      <c r="O169" s="13">
        <f>MIN(0,O168+(B169-C169+0.5*D169))</f>
        <v/>
      </c>
      <c r="P169">
        <f>IF(ABS(G169)&gt;1,P168+1,0)</f>
        <v/>
      </c>
      <c r="Q169">
        <f>IFS(OR(ABS(G169)&gt;3,N169&gt;5*D169,ABS(O169)&gt;5*D169,P169&gt;=5),"CRITICAL",OR(ABS(G169)&gt;2,P169&gt;=3,ABS(J169)&gt;3.5),"EARLY WARNING",ABS(G169)&gt;1,"WATCH",TRUE,"NORMAL")</f>
        <v/>
      </c>
    </row>
    <row r="170">
      <c r="A170" s="12" t="n">
        <v>45195</v>
      </c>
      <c r="B170" s="13">
        <f>Raw_Data!B170</f>
        <v/>
      </c>
      <c r="C170" s="13">
        <f>AVERAGE(B141:B170)</f>
        <v/>
      </c>
      <c r="D170" s="13">
        <f>STDEV.S(B141:B170)</f>
        <v/>
      </c>
      <c r="E170" s="13">
        <f>C170+3*D170</f>
        <v/>
      </c>
      <c r="F170" s="13">
        <f>C170-3*D170</f>
        <v/>
      </c>
      <c r="G170" s="15">
        <f>IF(D170=0,"",(B170-C170)/D170)</f>
        <v/>
      </c>
      <c r="H170" s="13">
        <f>MEDIAN(B141:B170)</f>
        <v/>
      </c>
      <c r="I170" s="13">
        <f>MEDIAN(ABS(B141:B170-H170))</f>
        <v/>
      </c>
      <c r="J170" s="15">
        <f>IF(I170=0,"",0.6745*(B170-H170)/I170)</f>
        <v/>
      </c>
      <c r="K170" s="13">
        <f>0.2*B170+0.8*K169</f>
        <v/>
      </c>
      <c r="L170" s="13">
        <f>C170+3*D170*SQRT(0.2/(2-0.2))</f>
        <v/>
      </c>
      <c r="M170" s="13">
        <f>C170-3*D170*SQRT(0.2/(2-0.2))</f>
        <v/>
      </c>
      <c r="N170" s="13">
        <f>MAX(0,N169+(B170-C170-0.5*D170))</f>
        <v/>
      </c>
      <c r="O170" s="13">
        <f>MIN(0,O169+(B170-C170+0.5*D170))</f>
        <v/>
      </c>
      <c r="P170">
        <f>IF(ABS(G170)&gt;1,P169+1,0)</f>
        <v/>
      </c>
      <c r="Q170">
        <f>IFS(OR(ABS(G170)&gt;3,N170&gt;5*D170,ABS(O170)&gt;5*D170,P170&gt;=5),"CRITICAL",OR(ABS(G170)&gt;2,P170&gt;=3,ABS(J170)&gt;3.5),"EARLY WARNING",ABS(G170)&gt;1,"WATCH",TRUE,"NORMAL")</f>
        <v/>
      </c>
    </row>
    <row r="171">
      <c r="A171" s="12" t="n">
        <v>45196</v>
      </c>
      <c r="B171" s="13">
        <f>Raw_Data!B171</f>
        <v/>
      </c>
      <c r="C171" s="13">
        <f>AVERAGE(B142:B171)</f>
        <v/>
      </c>
      <c r="D171" s="13">
        <f>STDEV.S(B142:B171)</f>
        <v/>
      </c>
      <c r="E171" s="13">
        <f>C171+3*D171</f>
        <v/>
      </c>
      <c r="F171" s="13">
        <f>C171-3*D171</f>
        <v/>
      </c>
      <c r="G171" s="15">
        <f>IF(D171=0,"",(B171-C171)/D171)</f>
        <v/>
      </c>
      <c r="H171" s="13">
        <f>MEDIAN(B142:B171)</f>
        <v/>
      </c>
      <c r="I171" s="13">
        <f>MEDIAN(ABS(B142:B171-H171))</f>
        <v/>
      </c>
      <c r="J171" s="15">
        <f>IF(I171=0,"",0.6745*(B171-H171)/I171)</f>
        <v/>
      </c>
      <c r="K171" s="13">
        <f>0.2*B171+0.8*K170</f>
        <v/>
      </c>
      <c r="L171" s="13">
        <f>C171+3*D171*SQRT(0.2/(2-0.2))</f>
        <v/>
      </c>
      <c r="M171" s="13">
        <f>C171-3*D171*SQRT(0.2/(2-0.2))</f>
        <v/>
      </c>
      <c r="N171" s="13">
        <f>MAX(0,N170+(B171-C171-0.5*D171))</f>
        <v/>
      </c>
      <c r="O171" s="13">
        <f>MIN(0,O170+(B171-C171+0.5*D171))</f>
        <v/>
      </c>
      <c r="P171">
        <f>IF(ABS(G171)&gt;1,P170+1,0)</f>
        <v/>
      </c>
      <c r="Q171">
        <f>IFS(OR(ABS(G171)&gt;3,N171&gt;5*D171,ABS(O171)&gt;5*D171,P171&gt;=5),"CRITICAL",OR(ABS(G171)&gt;2,P171&gt;=3,ABS(J171)&gt;3.5),"EARLY WARNING",ABS(G171)&gt;1,"WATCH",TRUE,"NORMAL")</f>
        <v/>
      </c>
    </row>
    <row r="172">
      <c r="A172" s="12" t="n">
        <v>45197</v>
      </c>
      <c r="B172" s="13">
        <f>Raw_Data!B172</f>
        <v/>
      </c>
      <c r="C172" s="13">
        <f>AVERAGE(B143:B172)</f>
        <v/>
      </c>
      <c r="D172" s="13">
        <f>STDEV.S(B143:B172)</f>
        <v/>
      </c>
      <c r="E172" s="13">
        <f>C172+3*D172</f>
        <v/>
      </c>
      <c r="F172" s="13">
        <f>C172-3*D172</f>
        <v/>
      </c>
      <c r="G172" s="15">
        <f>IF(D172=0,"",(B172-C172)/D172)</f>
        <v/>
      </c>
      <c r="H172" s="13">
        <f>MEDIAN(B143:B172)</f>
        <v/>
      </c>
      <c r="I172" s="13">
        <f>MEDIAN(ABS(B143:B172-H172))</f>
        <v/>
      </c>
      <c r="J172" s="15">
        <f>IF(I172=0,"",0.6745*(B172-H172)/I172)</f>
        <v/>
      </c>
      <c r="K172" s="13">
        <f>0.2*B172+0.8*K171</f>
        <v/>
      </c>
      <c r="L172" s="13">
        <f>C172+3*D172*SQRT(0.2/(2-0.2))</f>
        <v/>
      </c>
      <c r="M172" s="13">
        <f>C172-3*D172*SQRT(0.2/(2-0.2))</f>
        <v/>
      </c>
      <c r="N172" s="13">
        <f>MAX(0,N171+(B172-C172-0.5*D172))</f>
        <v/>
      </c>
      <c r="O172" s="13">
        <f>MIN(0,O171+(B172-C172+0.5*D172))</f>
        <v/>
      </c>
      <c r="P172">
        <f>IF(ABS(G172)&gt;1,P171+1,0)</f>
        <v/>
      </c>
      <c r="Q172">
        <f>IFS(OR(ABS(G172)&gt;3,N172&gt;5*D172,ABS(O172)&gt;5*D172,P172&gt;=5),"CRITICAL",OR(ABS(G172)&gt;2,P172&gt;=3,ABS(J172)&gt;3.5),"EARLY WARNING",ABS(G172)&gt;1,"WATCH",TRUE,"NORMAL")</f>
        <v/>
      </c>
    </row>
    <row r="173">
      <c r="A173" s="12" t="n">
        <v>45198</v>
      </c>
      <c r="B173" s="13">
        <f>Raw_Data!B173</f>
        <v/>
      </c>
      <c r="C173" s="13">
        <f>AVERAGE(B144:B173)</f>
        <v/>
      </c>
      <c r="D173" s="13">
        <f>STDEV.S(B144:B173)</f>
        <v/>
      </c>
      <c r="E173" s="13">
        <f>C173+3*D173</f>
        <v/>
      </c>
      <c r="F173" s="13">
        <f>C173-3*D173</f>
        <v/>
      </c>
      <c r="G173" s="15">
        <f>IF(D173=0,"",(B173-C173)/D173)</f>
        <v/>
      </c>
      <c r="H173" s="13">
        <f>MEDIAN(B144:B173)</f>
        <v/>
      </c>
      <c r="I173" s="13">
        <f>MEDIAN(ABS(B144:B173-H173))</f>
        <v/>
      </c>
      <c r="J173" s="15">
        <f>IF(I173=0,"",0.6745*(B173-H173)/I173)</f>
        <v/>
      </c>
      <c r="K173" s="13">
        <f>0.2*B173+0.8*K172</f>
        <v/>
      </c>
      <c r="L173" s="13">
        <f>C173+3*D173*SQRT(0.2/(2-0.2))</f>
        <v/>
      </c>
      <c r="M173" s="13">
        <f>C173-3*D173*SQRT(0.2/(2-0.2))</f>
        <v/>
      </c>
      <c r="N173" s="13">
        <f>MAX(0,N172+(B173-C173-0.5*D173))</f>
        <v/>
      </c>
      <c r="O173" s="13">
        <f>MIN(0,O172+(B173-C173+0.5*D173))</f>
        <v/>
      </c>
      <c r="P173">
        <f>IF(ABS(G173)&gt;1,P172+1,0)</f>
        <v/>
      </c>
      <c r="Q173">
        <f>IFS(OR(ABS(G173)&gt;3,N173&gt;5*D173,ABS(O173)&gt;5*D173,P173&gt;=5),"CRITICAL",OR(ABS(G173)&gt;2,P173&gt;=3,ABS(J173)&gt;3.5),"EARLY WARNING",ABS(G173)&gt;1,"WATCH",TRUE,"NORMAL")</f>
        <v/>
      </c>
    </row>
    <row r="174">
      <c r="A174" s="12" t="n">
        <v>45199</v>
      </c>
      <c r="B174" s="13">
        <f>Raw_Data!B174</f>
        <v/>
      </c>
      <c r="C174" s="13">
        <f>AVERAGE(B145:B174)</f>
        <v/>
      </c>
      <c r="D174" s="13">
        <f>STDEV.S(B145:B174)</f>
        <v/>
      </c>
      <c r="E174" s="13">
        <f>C174+3*D174</f>
        <v/>
      </c>
      <c r="F174" s="13">
        <f>C174-3*D174</f>
        <v/>
      </c>
      <c r="G174" s="15">
        <f>IF(D174=0,"",(B174-C174)/D174)</f>
        <v/>
      </c>
      <c r="H174" s="13">
        <f>MEDIAN(B145:B174)</f>
        <v/>
      </c>
      <c r="I174" s="13">
        <f>MEDIAN(ABS(B145:B174-H174))</f>
        <v/>
      </c>
      <c r="J174" s="15">
        <f>IF(I174=0,"",0.6745*(B174-H174)/I174)</f>
        <v/>
      </c>
      <c r="K174" s="13">
        <f>0.2*B174+0.8*K173</f>
        <v/>
      </c>
      <c r="L174" s="13">
        <f>C174+3*D174*SQRT(0.2/(2-0.2))</f>
        <v/>
      </c>
      <c r="M174" s="13">
        <f>C174-3*D174*SQRT(0.2/(2-0.2))</f>
        <v/>
      </c>
      <c r="N174" s="13">
        <f>MAX(0,N173+(B174-C174-0.5*D174))</f>
        <v/>
      </c>
      <c r="O174" s="13">
        <f>MIN(0,O173+(B174-C174+0.5*D174))</f>
        <v/>
      </c>
      <c r="P174">
        <f>IF(ABS(G174)&gt;1,P173+1,0)</f>
        <v/>
      </c>
      <c r="Q174">
        <f>IFS(OR(ABS(G174)&gt;3,N174&gt;5*D174,ABS(O174)&gt;5*D174,P174&gt;=5),"CRITICAL",OR(ABS(G174)&gt;2,P174&gt;=3,ABS(J174)&gt;3.5),"EARLY WARNING",ABS(G174)&gt;1,"WATCH",TRUE,"NORMAL")</f>
        <v/>
      </c>
    </row>
    <row r="175">
      <c r="A175" s="12" t="n">
        <v>45200</v>
      </c>
      <c r="B175" s="13">
        <f>Raw_Data!B175</f>
        <v/>
      </c>
      <c r="C175" s="13">
        <f>AVERAGE(B146:B175)</f>
        <v/>
      </c>
      <c r="D175" s="13">
        <f>STDEV.S(B146:B175)</f>
        <v/>
      </c>
      <c r="E175" s="13">
        <f>C175+3*D175</f>
        <v/>
      </c>
      <c r="F175" s="13">
        <f>C175-3*D175</f>
        <v/>
      </c>
      <c r="G175" s="15">
        <f>IF(D175=0,"",(B175-C175)/D175)</f>
        <v/>
      </c>
      <c r="H175" s="13">
        <f>MEDIAN(B146:B175)</f>
        <v/>
      </c>
      <c r="I175" s="13">
        <f>MEDIAN(ABS(B146:B175-H175))</f>
        <v/>
      </c>
      <c r="J175" s="15">
        <f>IF(I175=0,"",0.6745*(B175-H175)/I175)</f>
        <v/>
      </c>
      <c r="K175" s="13">
        <f>0.2*B175+0.8*K174</f>
        <v/>
      </c>
      <c r="L175" s="13">
        <f>C175+3*D175*SQRT(0.2/(2-0.2))</f>
        <v/>
      </c>
      <c r="M175" s="13">
        <f>C175-3*D175*SQRT(0.2/(2-0.2))</f>
        <v/>
      </c>
      <c r="N175" s="13">
        <f>MAX(0,N174+(B175-C175-0.5*D175))</f>
        <v/>
      </c>
      <c r="O175" s="13">
        <f>MIN(0,O174+(B175-C175+0.5*D175))</f>
        <v/>
      </c>
      <c r="P175">
        <f>IF(ABS(G175)&gt;1,P174+1,0)</f>
        <v/>
      </c>
      <c r="Q175">
        <f>IFS(OR(ABS(G175)&gt;3,N175&gt;5*D175,ABS(O175)&gt;5*D175,P175&gt;=5),"CRITICAL",OR(ABS(G175)&gt;2,P175&gt;=3,ABS(J175)&gt;3.5),"EARLY WARNING",ABS(G175)&gt;1,"WATCH",TRUE,"NORMAL")</f>
        <v/>
      </c>
    </row>
    <row r="176">
      <c r="A176" s="12" t="n">
        <v>45201</v>
      </c>
      <c r="B176" s="13">
        <f>Raw_Data!B176</f>
        <v/>
      </c>
      <c r="C176" s="13">
        <f>AVERAGE(B147:B176)</f>
        <v/>
      </c>
      <c r="D176" s="13">
        <f>STDEV.S(B147:B176)</f>
        <v/>
      </c>
      <c r="E176" s="13">
        <f>C176+3*D176</f>
        <v/>
      </c>
      <c r="F176" s="13">
        <f>C176-3*D176</f>
        <v/>
      </c>
      <c r="G176" s="15">
        <f>IF(D176=0,"",(B176-C176)/D176)</f>
        <v/>
      </c>
      <c r="H176" s="13">
        <f>MEDIAN(B147:B176)</f>
        <v/>
      </c>
      <c r="I176" s="13">
        <f>MEDIAN(ABS(B147:B176-H176))</f>
        <v/>
      </c>
      <c r="J176" s="15">
        <f>IF(I176=0,"",0.6745*(B176-H176)/I176)</f>
        <v/>
      </c>
      <c r="K176" s="13">
        <f>0.2*B176+0.8*K175</f>
        <v/>
      </c>
      <c r="L176" s="13">
        <f>C176+3*D176*SQRT(0.2/(2-0.2))</f>
        <v/>
      </c>
      <c r="M176" s="13">
        <f>C176-3*D176*SQRT(0.2/(2-0.2))</f>
        <v/>
      </c>
      <c r="N176" s="13">
        <f>MAX(0,N175+(B176-C176-0.5*D176))</f>
        <v/>
      </c>
      <c r="O176" s="13">
        <f>MIN(0,O175+(B176-C176+0.5*D176))</f>
        <v/>
      </c>
      <c r="P176">
        <f>IF(ABS(G176)&gt;1,P175+1,0)</f>
        <v/>
      </c>
      <c r="Q176">
        <f>IFS(OR(ABS(G176)&gt;3,N176&gt;5*D176,ABS(O176)&gt;5*D176,P176&gt;=5),"CRITICAL",OR(ABS(G176)&gt;2,P176&gt;=3,ABS(J176)&gt;3.5),"EARLY WARNING",ABS(G176)&gt;1,"WATCH",TRUE,"NORMAL")</f>
        <v/>
      </c>
    </row>
    <row r="177">
      <c r="A177" s="12" t="n">
        <v>45202</v>
      </c>
      <c r="B177" s="13">
        <f>Raw_Data!B177</f>
        <v/>
      </c>
      <c r="C177" s="13">
        <f>AVERAGE(B148:B177)</f>
        <v/>
      </c>
      <c r="D177" s="13">
        <f>STDEV.S(B148:B177)</f>
        <v/>
      </c>
      <c r="E177" s="13">
        <f>C177+3*D177</f>
        <v/>
      </c>
      <c r="F177" s="13">
        <f>C177-3*D177</f>
        <v/>
      </c>
      <c r="G177" s="15">
        <f>IF(D177=0,"",(B177-C177)/D177)</f>
        <v/>
      </c>
      <c r="H177" s="13">
        <f>MEDIAN(B148:B177)</f>
        <v/>
      </c>
      <c r="I177" s="13">
        <f>MEDIAN(ABS(B148:B177-H177))</f>
        <v/>
      </c>
      <c r="J177" s="15">
        <f>IF(I177=0,"",0.6745*(B177-H177)/I177)</f>
        <v/>
      </c>
      <c r="K177" s="13">
        <f>0.2*B177+0.8*K176</f>
        <v/>
      </c>
      <c r="L177" s="13">
        <f>C177+3*D177*SQRT(0.2/(2-0.2))</f>
        <v/>
      </c>
      <c r="M177" s="13">
        <f>C177-3*D177*SQRT(0.2/(2-0.2))</f>
        <v/>
      </c>
      <c r="N177" s="13">
        <f>MAX(0,N176+(B177-C177-0.5*D177))</f>
        <v/>
      </c>
      <c r="O177" s="13">
        <f>MIN(0,O176+(B177-C177+0.5*D177))</f>
        <v/>
      </c>
      <c r="P177">
        <f>IF(ABS(G177)&gt;1,P176+1,0)</f>
        <v/>
      </c>
      <c r="Q177">
        <f>IFS(OR(ABS(G177)&gt;3,N177&gt;5*D177,ABS(O177)&gt;5*D177,P177&gt;=5),"CRITICAL",OR(ABS(G177)&gt;2,P177&gt;=3,ABS(J177)&gt;3.5),"EARLY WARNING",ABS(G177)&gt;1,"WATCH",TRUE,"NORMAL")</f>
        <v/>
      </c>
    </row>
    <row r="178">
      <c r="A178" s="12" t="n">
        <v>45203</v>
      </c>
      <c r="B178" s="13">
        <f>Raw_Data!B178</f>
        <v/>
      </c>
      <c r="C178" s="13">
        <f>AVERAGE(B149:B178)</f>
        <v/>
      </c>
      <c r="D178" s="13">
        <f>STDEV.S(B149:B178)</f>
        <v/>
      </c>
      <c r="E178" s="13">
        <f>C178+3*D178</f>
        <v/>
      </c>
      <c r="F178" s="13">
        <f>C178-3*D178</f>
        <v/>
      </c>
      <c r="G178" s="15">
        <f>IF(D178=0,"",(B178-C178)/D178)</f>
        <v/>
      </c>
      <c r="H178" s="13">
        <f>MEDIAN(B149:B178)</f>
        <v/>
      </c>
      <c r="I178" s="13">
        <f>MEDIAN(ABS(B149:B178-H178))</f>
        <v/>
      </c>
      <c r="J178" s="15">
        <f>IF(I178=0,"",0.6745*(B178-H178)/I178)</f>
        <v/>
      </c>
      <c r="K178" s="13">
        <f>0.2*B178+0.8*K177</f>
        <v/>
      </c>
      <c r="L178" s="13">
        <f>C178+3*D178*SQRT(0.2/(2-0.2))</f>
        <v/>
      </c>
      <c r="M178" s="13">
        <f>C178-3*D178*SQRT(0.2/(2-0.2))</f>
        <v/>
      </c>
      <c r="N178" s="13">
        <f>MAX(0,N177+(B178-C178-0.5*D178))</f>
        <v/>
      </c>
      <c r="O178" s="13">
        <f>MIN(0,O177+(B178-C178+0.5*D178))</f>
        <v/>
      </c>
      <c r="P178">
        <f>IF(ABS(G178)&gt;1,P177+1,0)</f>
        <v/>
      </c>
      <c r="Q178">
        <f>IFS(OR(ABS(G178)&gt;3,N178&gt;5*D178,ABS(O178)&gt;5*D178,P178&gt;=5),"CRITICAL",OR(ABS(G178)&gt;2,P178&gt;=3,ABS(J178)&gt;3.5),"EARLY WARNING",ABS(G178)&gt;1,"WATCH",TRUE,"NORMAL")</f>
        <v/>
      </c>
    </row>
    <row r="179">
      <c r="A179" s="12" t="n">
        <v>45204</v>
      </c>
      <c r="B179" s="13">
        <f>Raw_Data!B179</f>
        <v/>
      </c>
      <c r="C179" s="13">
        <f>AVERAGE(B150:B179)</f>
        <v/>
      </c>
      <c r="D179" s="13">
        <f>STDEV.S(B150:B179)</f>
        <v/>
      </c>
      <c r="E179" s="13">
        <f>C179+3*D179</f>
        <v/>
      </c>
      <c r="F179" s="13">
        <f>C179-3*D179</f>
        <v/>
      </c>
      <c r="G179" s="15">
        <f>IF(D179=0,"",(B179-C179)/D179)</f>
        <v/>
      </c>
      <c r="H179" s="13">
        <f>MEDIAN(B150:B179)</f>
        <v/>
      </c>
      <c r="I179" s="13">
        <f>MEDIAN(ABS(B150:B179-H179))</f>
        <v/>
      </c>
      <c r="J179" s="15">
        <f>IF(I179=0,"",0.6745*(B179-H179)/I179)</f>
        <v/>
      </c>
      <c r="K179" s="13">
        <f>0.2*B179+0.8*K178</f>
        <v/>
      </c>
      <c r="L179" s="13">
        <f>C179+3*D179*SQRT(0.2/(2-0.2))</f>
        <v/>
      </c>
      <c r="M179" s="13">
        <f>C179-3*D179*SQRT(0.2/(2-0.2))</f>
        <v/>
      </c>
      <c r="N179" s="13">
        <f>MAX(0,N178+(B179-C179-0.5*D179))</f>
        <v/>
      </c>
      <c r="O179" s="13">
        <f>MIN(0,O178+(B179-C179+0.5*D179))</f>
        <v/>
      </c>
      <c r="P179">
        <f>IF(ABS(G179)&gt;1,P178+1,0)</f>
        <v/>
      </c>
      <c r="Q179">
        <f>IFS(OR(ABS(G179)&gt;3,N179&gt;5*D179,ABS(O179)&gt;5*D179,P179&gt;=5),"CRITICAL",OR(ABS(G179)&gt;2,P179&gt;=3,ABS(J179)&gt;3.5),"EARLY WARNING",ABS(G179)&gt;1,"WATCH",TRUE,"NORMAL")</f>
        <v/>
      </c>
    </row>
    <row r="180">
      <c r="A180" s="12" t="n">
        <v>45205</v>
      </c>
      <c r="B180" s="13">
        <f>Raw_Data!B180</f>
        <v/>
      </c>
      <c r="C180" s="13">
        <f>AVERAGE(B151:B180)</f>
        <v/>
      </c>
      <c r="D180" s="13">
        <f>STDEV.S(B151:B180)</f>
        <v/>
      </c>
      <c r="E180" s="13">
        <f>C180+3*D180</f>
        <v/>
      </c>
      <c r="F180" s="13">
        <f>C180-3*D180</f>
        <v/>
      </c>
      <c r="G180" s="15">
        <f>IF(D180=0,"",(B180-C180)/D180)</f>
        <v/>
      </c>
      <c r="H180" s="13">
        <f>MEDIAN(B151:B180)</f>
        <v/>
      </c>
      <c r="I180" s="13">
        <f>MEDIAN(ABS(B151:B180-H180))</f>
        <v/>
      </c>
      <c r="J180" s="15">
        <f>IF(I180=0,"",0.6745*(B180-H180)/I180)</f>
        <v/>
      </c>
      <c r="K180" s="13">
        <f>0.2*B180+0.8*K179</f>
        <v/>
      </c>
      <c r="L180" s="13">
        <f>C180+3*D180*SQRT(0.2/(2-0.2))</f>
        <v/>
      </c>
      <c r="M180" s="13">
        <f>C180-3*D180*SQRT(0.2/(2-0.2))</f>
        <v/>
      </c>
      <c r="N180" s="13">
        <f>MAX(0,N179+(B180-C180-0.5*D180))</f>
        <v/>
      </c>
      <c r="O180" s="13">
        <f>MIN(0,O179+(B180-C180+0.5*D180))</f>
        <v/>
      </c>
      <c r="P180">
        <f>IF(ABS(G180)&gt;1,P179+1,0)</f>
        <v/>
      </c>
      <c r="Q180">
        <f>IFS(OR(ABS(G180)&gt;3,N180&gt;5*D180,ABS(O180)&gt;5*D180,P180&gt;=5),"CRITICAL",OR(ABS(G180)&gt;2,P180&gt;=3,ABS(J180)&gt;3.5),"EARLY WARNING",ABS(G180)&gt;1,"WATCH",TRUE,"NORMAL")</f>
        <v/>
      </c>
    </row>
    <row r="181">
      <c r="A181" s="12" t="n">
        <v>45206</v>
      </c>
      <c r="B181" s="13">
        <f>Raw_Data!B181</f>
        <v/>
      </c>
      <c r="C181" s="13">
        <f>AVERAGE(B152:B181)</f>
        <v/>
      </c>
      <c r="D181" s="13">
        <f>STDEV.S(B152:B181)</f>
        <v/>
      </c>
      <c r="E181" s="13">
        <f>C181+3*D181</f>
        <v/>
      </c>
      <c r="F181" s="13">
        <f>C181-3*D181</f>
        <v/>
      </c>
      <c r="G181" s="15">
        <f>IF(D181=0,"",(B181-C181)/D181)</f>
        <v/>
      </c>
      <c r="H181" s="13">
        <f>MEDIAN(B152:B181)</f>
        <v/>
      </c>
      <c r="I181" s="13">
        <f>MEDIAN(ABS(B152:B181-H181))</f>
        <v/>
      </c>
      <c r="J181" s="15">
        <f>IF(I181=0,"",0.6745*(B181-H181)/I181)</f>
        <v/>
      </c>
      <c r="K181" s="13">
        <f>0.2*B181+0.8*K180</f>
        <v/>
      </c>
      <c r="L181" s="13">
        <f>C181+3*D181*SQRT(0.2/(2-0.2))</f>
        <v/>
      </c>
      <c r="M181" s="13">
        <f>C181-3*D181*SQRT(0.2/(2-0.2))</f>
        <v/>
      </c>
      <c r="N181" s="13">
        <f>MAX(0,N180+(B181-C181-0.5*D181))</f>
        <v/>
      </c>
      <c r="O181" s="13">
        <f>MIN(0,O180+(B181-C181+0.5*D181))</f>
        <v/>
      </c>
      <c r="P181">
        <f>IF(ABS(G181)&gt;1,P180+1,0)</f>
        <v/>
      </c>
      <c r="Q181">
        <f>IFS(OR(ABS(G181)&gt;3,N181&gt;5*D181,ABS(O181)&gt;5*D181,P181&gt;=5),"CRITICAL",OR(ABS(G181)&gt;2,P181&gt;=3,ABS(J181)&gt;3.5),"EARLY WARNING",ABS(G181)&gt;1,"WATCH",TRUE,"NORMAL")</f>
        <v/>
      </c>
    </row>
    <row r="182">
      <c r="A182" s="12" t="n">
        <v>45207</v>
      </c>
      <c r="B182" s="13">
        <f>Raw_Data!B182</f>
        <v/>
      </c>
      <c r="C182" s="13">
        <f>AVERAGE(B153:B182)</f>
        <v/>
      </c>
      <c r="D182" s="13">
        <f>STDEV.S(B153:B182)</f>
        <v/>
      </c>
      <c r="E182" s="13">
        <f>C182+3*D182</f>
        <v/>
      </c>
      <c r="F182" s="13">
        <f>C182-3*D182</f>
        <v/>
      </c>
      <c r="G182" s="15">
        <f>IF(D182=0,"",(B182-C182)/D182)</f>
        <v/>
      </c>
      <c r="H182" s="13">
        <f>MEDIAN(B153:B182)</f>
        <v/>
      </c>
      <c r="I182" s="13">
        <f>MEDIAN(ABS(B153:B182-H182))</f>
        <v/>
      </c>
      <c r="J182" s="15">
        <f>IF(I182=0,"",0.6745*(B182-H182)/I182)</f>
        <v/>
      </c>
      <c r="K182" s="13">
        <f>0.2*B182+0.8*K181</f>
        <v/>
      </c>
      <c r="L182" s="13">
        <f>C182+3*D182*SQRT(0.2/(2-0.2))</f>
        <v/>
      </c>
      <c r="M182" s="13">
        <f>C182-3*D182*SQRT(0.2/(2-0.2))</f>
        <v/>
      </c>
      <c r="N182" s="13">
        <f>MAX(0,N181+(B182-C182-0.5*D182))</f>
        <v/>
      </c>
      <c r="O182" s="13">
        <f>MIN(0,O181+(B182-C182+0.5*D182))</f>
        <v/>
      </c>
      <c r="P182">
        <f>IF(ABS(G182)&gt;1,P181+1,0)</f>
        <v/>
      </c>
      <c r="Q182">
        <f>IFS(OR(ABS(G182)&gt;3,N182&gt;5*D182,ABS(O182)&gt;5*D182,P182&gt;=5),"CRITICAL",OR(ABS(G182)&gt;2,P182&gt;=3,ABS(J182)&gt;3.5),"EARLY WARNING",ABS(G182)&gt;1,"WATCH",TRUE,"NORMAL")</f>
        <v/>
      </c>
    </row>
    <row r="183">
      <c r="A183" s="12" t="n">
        <v>45208</v>
      </c>
      <c r="B183" s="13">
        <f>Raw_Data!B183</f>
        <v/>
      </c>
      <c r="C183" s="13">
        <f>AVERAGE(B154:B183)</f>
        <v/>
      </c>
      <c r="D183" s="13">
        <f>STDEV.S(B154:B183)</f>
        <v/>
      </c>
      <c r="E183" s="13">
        <f>C183+3*D183</f>
        <v/>
      </c>
      <c r="F183" s="13">
        <f>C183-3*D183</f>
        <v/>
      </c>
      <c r="G183" s="15">
        <f>IF(D183=0,"",(B183-C183)/D183)</f>
        <v/>
      </c>
      <c r="H183" s="13">
        <f>MEDIAN(B154:B183)</f>
        <v/>
      </c>
      <c r="I183" s="13">
        <f>MEDIAN(ABS(B154:B183-H183))</f>
        <v/>
      </c>
      <c r="J183" s="15">
        <f>IF(I183=0,"",0.6745*(B183-H183)/I183)</f>
        <v/>
      </c>
      <c r="K183" s="13">
        <f>0.2*B183+0.8*K182</f>
        <v/>
      </c>
      <c r="L183" s="13">
        <f>C183+3*D183*SQRT(0.2/(2-0.2))</f>
        <v/>
      </c>
      <c r="M183" s="13">
        <f>C183-3*D183*SQRT(0.2/(2-0.2))</f>
        <v/>
      </c>
      <c r="N183" s="13">
        <f>MAX(0,N182+(B183-C183-0.5*D183))</f>
        <v/>
      </c>
      <c r="O183" s="13">
        <f>MIN(0,O182+(B183-C183+0.5*D183))</f>
        <v/>
      </c>
      <c r="P183">
        <f>IF(ABS(G183)&gt;1,P182+1,0)</f>
        <v/>
      </c>
      <c r="Q183">
        <f>IFS(OR(ABS(G183)&gt;3,N183&gt;5*D183,ABS(O183)&gt;5*D183,P183&gt;=5),"CRITICAL",OR(ABS(G183)&gt;2,P183&gt;=3,ABS(J183)&gt;3.5),"EARLY WARNING",ABS(G183)&gt;1,"WATCH",TRUE,"NORMAL")</f>
        <v/>
      </c>
    </row>
    <row r="184">
      <c r="A184" s="12" t="n">
        <v>45209</v>
      </c>
      <c r="B184" s="13">
        <f>Raw_Data!B184</f>
        <v/>
      </c>
      <c r="C184" s="13">
        <f>AVERAGE(B155:B184)</f>
        <v/>
      </c>
      <c r="D184" s="13">
        <f>STDEV.S(B155:B184)</f>
        <v/>
      </c>
      <c r="E184" s="13">
        <f>C184+3*D184</f>
        <v/>
      </c>
      <c r="F184" s="13">
        <f>C184-3*D184</f>
        <v/>
      </c>
      <c r="G184" s="15">
        <f>IF(D184=0,"",(B184-C184)/D184)</f>
        <v/>
      </c>
      <c r="H184" s="13">
        <f>MEDIAN(B155:B184)</f>
        <v/>
      </c>
      <c r="I184" s="13">
        <f>MEDIAN(ABS(B155:B184-H184))</f>
        <v/>
      </c>
      <c r="J184" s="15">
        <f>IF(I184=0,"",0.6745*(B184-H184)/I184)</f>
        <v/>
      </c>
      <c r="K184" s="13">
        <f>0.2*B184+0.8*K183</f>
        <v/>
      </c>
      <c r="L184" s="13">
        <f>C184+3*D184*SQRT(0.2/(2-0.2))</f>
        <v/>
      </c>
      <c r="M184" s="13">
        <f>C184-3*D184*SQRT(0.2/(2-0.2))</f>
        <v/>
      </c>
      <c r="N184" s="13">
        <f>MAX(0,N183+(B184-C184-0.5*D184))</f>
        <v/>
      </c>
      <c r="O184" s="13">
        <f>MIN(0,O183+(B184-C184+0.5*D184))</f>
        <v/>
      </c>
      <c r="P184">
        <f>IF(ABS(G184)&gt;1,P183+1,0)</f>
        <v/>
      </c>
      <c r="Q184">
        <f>IFS(OR(ABS(G184)&gt;3,N184&gt;5*D184,ABS(O184)&gt;5*D184,P184&gt;=5),"CRITICAL",OR(ABS(G184)&gt;2,P184&gt;=3,ABS(J184)&gt;3.5),"EARLY WARNING",ABS(G184)&gt;1,"WATCH",TRUE,"NORMAL")</f>
        <v/>
      </c>
    </row>
    <row r="185">
      <c r="A185" s="12" t="n">
        <v>45210</v>
      </c>
      <c r="B185" s="13">
        <f>Raw_Data!B185</f>
        <v/>
      </c>
      <c r="C185" s="13">
        <f>AVERAGE(B156:B185)</f>
        <v/>
      </c>
      <c r="D185" s="13">
        <f>STDEV.S(B156:B185)</f>
        <v/>
      </c>
      <c r="E185" s="13">
        <f>C185+3*D185</f>
        <v/>
      </c>
      <c r="F185" s="13">
        <f>C185-3*D185</f>
        <v/>
      </c>
      <c r="G185" s="15">
        <f>IF(D185=0,"",(B185-C185)/D185)</f>
        <v/>
      </c>
      <c r="H185" s="13">
        <f>MEDIAN(B156:B185)</f>
        <v/>
      </c>
      <c r="I185" s="13">
        <f>MEDIAN(ABS(B156:B185-H185))</f>
        <v/>
      </c>
      <c r="J185" s="15">
        <f>IF(I185=0,"",0.6745*(B185-H185)/I185)</f>
        <v/>
      </c>
      <c r="K185" s="13">
        <f>0.2*B185+0.8*K184</f>
        <v/>
      </c>
      <c r="L185" s="13">
        <f>C185+3*D185*SQRT(0.2/(2-0.2))</f>
        <v/>
      </c>
      <c r="M185" s="13">
        <f>C185-3*D185*SQRT(0.2/(2-0.2))</f>
        <v/>
      </c>
      <c r="N185" s="13">
        <f>MAX(0,N184+(B185-C185-0.5*D185))</f>
        <v/>
      </c>
      <c r="O185" s="13">
        <f>MIN(0,O184+(B185-C185+0.5*D185))</f>
        <v/>
      </c>
      <c r="P185">
        <f>IF(ABS(G185)&gt;1,P184+1,0)</f>
        <v/>
      </c>
      <c r="Q185">
        <f>IFS(OR(ABS(G185)&gt;3,N185&gt;5*D185,ABS(O185)&gt;5*D185,P185&gt;=5),"CRITICAL",OR(ABS(G185)&gt;2,P185&gt;=3,ABS(J185)&gt;3.5),"EARLY WARNING",ABS(G185)&gt;1,"WATCH",TRUE,"NORMAL")</f>
        <v/>
      </c>
    </row>
    <row r="186">
      <c r="A186" s="12" t="n">
        <v>45211</v>
      </c>
      <c r="B186" s="13">
        <f>Raw_Data!B186</f>
        <v/>
      </c>
      <c r="C186" s="13">
        <f>AVERAGE(B157:B186)</f>
        <v/>
      </c>
      <c r="D186" s="13">
        <f>STDEV.S(B157:B186)</f>
        <v/>
      </c>
      <c r="E186" s="13">
        <f>C186+3*D186</f>
        <v/>
      </c>
      <c r="F186" s="13">
        <f>C186-3*D186</f>
        <v/>
      </c>
      <c r="G186" s="15">
        <f>IF(D186=0,"",(B186-C186)/D186)</f>
        <v/>
      </c>
      <c r="H186" s="13">
        <f>MEDIAN(B157:B186)</f>
        <v/>
      </c>
      <c r="I186" s="13">
        <f>MEDIAN(ABS(B157:B186-H186))</f>
        <v/>
      </c>
      <c r="J186" s="15">
        <f>IF(I186=0,"",0.6745*(B186-H186)/I186)</f>
        <v/>
      </c>
      <c r="K186" s="13">
        <f>0.2*B186+0.8*K185</f>
        <v/>
      </c>
      <c r="L186" s="13">
        <f>C186+3*D186*SQRT(0.2/(2-0.2))</f>
        <v/>
      </c>
      <c r="M186" s="13">
        <f>C186-3*D186*SQRT(0.2/(2-0.2))</f>
        <v/>
      </c>
      <c r="N186" s="13">
        <f>MAX(0,N185+(B186-C186-0.5*D186))</f>
        <v/>
      </c>
      <c r="O186" s="13">
        <f>MIN(0,O185+(B186-C186+0.5*D186))</f>
        <v/>
      </c>
      <c r="P186">
        <f>IF(ABS(G186)&gt;1,P185+1,0)</f>
        <v/>
      </c>
      <c r="Q186">
        <f>IFS(OR(ABS(G186)&gt;3,N186&gt;5*D186,ABS(O186)&gt;5*D186,P186&gt;=5),"CRITICAL",OR(ABS(G186)&gt;2,P186&gt;=3,ABS(J186)&gt;3.5),"EARLY WARNING",ABS(G186)&gt;1,"WATCH",TRUE,"NORMAL")</f>
        <v/>
      </c>
    </row>
    <row r="187">
      <c r="A187" s="12" t="n">
        <v>45212</v>
      </c>
      <c r="B187" s="13">
        <f>Raw_Data!B187</f>
        <v/>
      </c>
      <c r="C187" s="13">
        <f>AVERAGE(B158:B187)</f>
        <v/>
      </c>
      <c r="D187" s="13">
        <f>STDEV.S(B158:B187)</f>
        <v/>
      </c>
      <c r="E187" s="13">
        <f>C187+3*D187</f>
        <v/>
      </c>
      <c r="F187" s="13">
        <f>C187-3*D187</f>
        <v/>
      </c>
      <c r="G187" s="15">
        <f>IF(D187=0,"",(B187-C187)/D187)</f>
        <v/>
      </c>
      <c r="H187" s="13">
        <f>MEDIAN(B158:B187)</f>
        <v/>
      </c>
      <c r="I187" s="13">
        <f>MEDIAN(ABS(B158:B187-H187))</f>
        <v/>
      </c>
      <c r="J187" s="15">
        <f>IF(I187=0,"",0.6745*(B187-H187)/I187)</f>
        <v/>
      </c>
      <c r="K187" s="13">
        <f>0.2*B187+0.8*K186</f>
        <v/>
      </c>
      <c r="L187" s="13">
        <f>C187+3*D187*SQRT(0.2/(2-0.2))</f>
        <v/>
      </c>
      <c r="M187" s="13">
        <f>C187-3*D187*SQRT(0.2/(2-0.2))</f>
        <v/>
      </c>
      <c r="N187" s="13">
        <f>MAX(0,N186+(B187-C187-0.5*D187))</f>
        <v/>
      </c>
      <c r="O187" s="13">
        <f>MIN(0,O186+(B187-C187+0.5*D187))</f>
        <v/>
      </c>
      <c r="P187">
        <f>IF(ABS(G187)&gt;1,P186+1,0)</f>
        <v/>
      </c>
      <c r="Q187">
        <f>IFS(OR(ABS(G187)&gt;3,N187&gt;5*D187,ABS(O187)&gt;5*D187,P187&gt;=5),"CRITICAL",OR(ABS(G187)&gt;2,P187&gt;=3,ABS(J187)&gt;3.5),"EARLY WARNING",ABS(G187)&gt;1,"WATCH",TRUE,"NORMAL")</f>
        <v/>
      </c>
    </row>
    <row r="188">
      <c r="A188" s="12" t="n">
        <v>45213</v>
      </c>
      <c r="B188" s="13">
        <f>Raw_Data!B188</f>
        <v/>
      </c>
      <c r="C188" s="13">
        <f>AVERAGE(B159:B188)</f>
        <v/>
      </c>
      <c r="D188" s="13">
        <f>STDEV.S(B159:B188)</f>
        <v/>
      </c>
      <c r="E188" s="13">
        <f>C188+3*D188</f>
        <v/>
      </c>
      <c r="F188" s="13">
        <f>C188-3*D188</f>
        <v/>
      </c>
      <c r="G188" s="15">
        <f>IF(D188=0,"",(B188-C188)/D188)</f>
        <v/>
      </c>
      <c r="H188" s="13">
        <f>MEDIAN(B159:B188)</f>
        <v/>
      </c>
      <c r="I188" s="13">
        <f>MEDIAN(ABS(B159:B188-H188))</f>
        <v/>
      </c>
      <c r="J188" s="15">
        <f>IF(I188=0,"",0.6745*(B188-H188)/I188)</f>
        <v/>
      </c>
      <c r="K188" s="13">
        <f>0.2*B188+0.8*K187</f>
        <v/>
      </c>
      <c r="L188" s="13">
        <f>C188+3*D188*SQRT(0.2/(2-0.2))</f>
        <v/>
      </c>
      <c r="M188" s="13">
        <f>C188-3*D188*SQRT(0.2/(2-0.2))</f>
        <v/>
      </c>
      <c r="N188" s="13">
        <f>MAX(0,N187+(B188-C188-0.5*D188))</f>
        <v/>
      </c>
      <c r="O188" s="13">
        <f>MIN(0,O187+(B188-C188+0.5*D188))</f>
        <v/>
      </c>
      <c r="P188">
        <f>IF(ABS(G188)&gt;1,P187+1,0)</f>
        <v/>
      </c>
      <c r="Q188">
        <f>IFS(OR(ABS(G188)&gt;3,N188&gt;5*D188,ABS(O188)&gt;5*D188,P188&gt;=5),"CRITICAL",OR(ABS(G188)&gt;2,P188&gt;=3,ABS(J188)&gt;3.5),"EARLY WARNING",ABS(G188)&gt;1,"WATCH",TRUE,"NORMAL")</f>
        <v/>
      </c>
    </row>
    <row r="189">
      <c r="A189" s="12" t="n">
        <v>45214</v>
      </c>
      <c r="B189" s="13">
        <f>Raw_Data!B189</f>
        <v/>
      </c>
      <c r="C189" s="13">
        <f>AVERAGE(B160:B189)</f>
        <v/>
      </c>
      <c r="D189" s="13">
        <f>STDEV.S(B160:B189)</f>
        <v/>
      </c>
      <c r="E189" s="13">
        <f>C189+3*D189</f>
        <v/>
      </c>
      <c r="F189" s="13">
        <f>C189-3*D189</f>
        <v/>
      </c>
      <c r="G189" s="15">
        <f>IF(D189=0,"",(B189-C189)/D189)</f>
        <v/>
      </c>
      <c r="H189" s="13">
        <f>MEDIAN(B160:B189)</f>
        <v/>
      </c>
      <c r="I189" s="13">
        <f>MEDIAN(ABS(B160:B189-H189))</f>
        <v/>
      </c>
      <c r="J189" s="15">
        <f>IF(I189=0,"",0.6745*(B189-H189)/I189)</f>
        <v/>
      </c>
      <c r="K189" s="13">
        <f>0.2*B189+0.8*K188</f>
        <v/>
      </c>
      <c r="L189" s="13">
        <f>C189+3*D189*SQRT(0.2/(2-0.2))</f>
        <v/>
      </c>
      <c r="M189" s="13">
        <f>C189-3*D189*SQRT(0.2/(2-0.2))</f>
        <v/>
      </c>
      <c r="N189" s="13">
        <f>MAX(0,N188+(B189-C189-0.5*D189))</f>
        <v/>
      </c>
      <c r="O189" s="13">
        <f>MIN(0,O188+(B189-C189+0.5*D189))</f>
        <v/>
      </c>
      <c r="P189">
        <f>IF(ABS(G189)&gt;1,P188+1,0)</f>
        <v/>
      </c>
      <c r="Q189">
        <f>IFS(OR(ABS(G189)&gt;3,N189&gt;5*D189,ABS(O189)&gt;5*D189,P189&gt;=5),"CRITICAL",OR(ABS(G189)&gt;2,P189&gt;=3,ABS(J189)&gt;3.5),"EARLY WARNING",ABS(G189)&gt;1,"WATCH",TRUE,"NORMAL")</f>
        <v/>
      </c>
    </row>
    <row r="190">
      <c r="A190" s="12" t="n">
        <v>45215</v>
      </c>
      <c r="B190" s="13">
        <f>Raw_Data!B190</f>
        <v/>
      </c>
      <c r="C190" s="13">
        <f>AVERAGE(B161:B190)</f>
        <v/>
      </c>
      <c r="D190" s="13">
        <f>STDEV.S(B161:B190)</f>
        <v/>
      </c>
      <c r="E190" s="13">
        <f>C190+3*D190</f>
        <v/>
      </c>
      <c r="F190" s="13">
        <f>C190-3*D190</f>
        <v/>
      </c>
      <c r="G190" s="15">
        <f>IF(D190=0,"",(B190-C190)/D190)</f>
        <v/>
      </c>
      <c r="H190" s="13">
        <f>MEDIAN(B161:B190)</f>
        <v/>
      </c>
      <c r="I190" s="13">
        <f>MEDIAN(ABS(B161:B190-H190))</f>
        <v/>
      </c>
      <c r="J190" s="15">
        <f>IF(I190=0,"",0.6745*(B190-H190)/I190)</f>
        <v/>
      </c>
      <c r="K190" s="13">
        <f>0.2*B190+0.8*K189</f>
        <v/>
      </c>
      <c r="L190" s="13">
        <f>C190+3*D190*SQRT(0.2/(2-0.2))</f>
        <v/>
      </c>
      <c r="M190" s="13">
        <f>C190-3*D190*SQRT(0.2/(2-0.2))</f>
        <v/>
      </c>
      <c r="N190" s="13">
        <f>MAX(0,N189+(B190-C190-0.5*D190))</f>
        <v/>
      </c>
      <c r="O190" s="13">
        <f>MIN(0,O189+(B190-C190+0.5*D190))</f>
        <v/>
      </c>
      <c r="P190">
        <f>IF(ABS(G190)&gt;1,P189+1,0)</f>
        <v/>
      </c>
      <c r="Q190">
        <f>IFS(OR(ABS(G190)&gt;3,N190&gt;5*D190,ABS(O190)&gt;5*D190,P190&gt;=5),"CRITICAL",OR(ABS(G190)&gt;2,P190&gt;=3,ABS(J190)&gt;3.5),"EARLY WARNING",ABS(G190)&gt;1,"WATCH",TRUE,"NORMAL")</f>
        <v/>
      </c>
    </row>
    <row r="191">
      <c r="A191" s="12" t="n">
        <v>45216</v>
      </c>
      <c r="B191" s="13">
        <f>Raw_Data!B191</f>
        <v/>
      </c>
      <c r="C191" s="13">
        <f>AVERAGE(B162:B191)</f>
        <v/>
      </c>
      <c r="D191" s="13">
        <f>STDEV.S(B162:B191)</f>
        <v/>
      </c>
      <c r="E191" s="13">
        <f>C191+3*D191</f>
        <v/>
      </c>
      <c r="F191" s="13">
        <f>C191-3*D191</f>
        <v/>
      </c>
      <c r="G191" s="15">
        <f>IF(D191=0,"",(B191-C191)/D191)</f>
        <v/>
      </c>
      <c r="H191" s="13">
        <f>MEDIAN(B162:B191)</f>
        <v/>
      </c>
      <c r="I191" s="13">
        <f>MEDIAN(ABS(B162:B191-H191))</f>
        <v/>
      </c>
      <c r="J191" s="15">
        <f>IF(I191=0,"",0.6745*(B191-H191)/I191)</f>
        <v/>
      </c>
      <c r="K191" s="13">
        <f>0.2*B191+0.8*K190</f>
        <v/>
      </c>
      <c r="L191" s="13">
        <f>C191+3*D191*SQRT(0.2/(2-0.2))</f>
        <v/>
      </c>
      <c r="M191" s="13">
        <f>C191-3*D191*SQRT(0.2/(2-0.2))</f>
        <v/>
      </c>
      <c r="N191" s="13">
        <f>MAX(0,N190+(B191-C191-0.5*D191))</f>
        <v/>
      </c>
      <c r="O191" s="13">
        <f>MIN(0,O190+(B191-C191+0.5*D191))</f>
        <v/>
      </c>
      <c r="P191">
        <f>IF(ABS(G191)&gt;1,P190+1,0)</f>
        <v/>
      </c>
      <c r="Q191">
        <f>IFS(OR(ABS(G191)&gt;3,N191&gt;5*D191,ABS(O191)&gt;5*D191,P191&gt;=5),"CRITICAL",OR(ABS(G191)&gt;2,P191&gt;=3,ABS(J191)&gt;3.5),"EARLY WARNING",ABS(G191)&gt;1,"WATCH",TRUE,"NORMAL")</f>
        <v/>
      </c>
    </row>
    <row r="192">
      <c r="A192" s="12" t="n">
        <v>45217</v>
      </c>
      <c r="B192" s="13">
        <f>Raw_Data!B192</f>
        <v/>
      </c>
      <c r="C192" s="13">
        <f>AVERAGE(B163:B192)</f>
        <v/>
      </c>
      <c r="D192" s="13">
        <f>STDEV.S(B163:B192)</f>
        <v/>
      </c>
      <c r="E192" s="13">
        <f>C192+3*D192</f>
        <v/>
      </c>
      <c r="F192" s="13">
        <f>C192-3*D192</f>
        <v/>
      </c>
      <c r="G192" s="15">
        <f>IF(D192=0,"",(B192-C192)/D192)</f>
        <v/>
      </c>
      <c r="H192" s="13">
        <f>MEDIAN(B163:B192)</f>
        <v/>
      </c>
      <c r="I192" s="13">
        <f>MEDIAN(ABS(B163:B192-H192))</f>
        <v/>
      </c>
      <c r="J192" s="15">
        <f>IF(I192=0,"",0.6745*(B192-H192)/I192)</f>
        <v/>
      </c>
      <c r="K192" s="13">
        <f>0.2*B192+0.8*K191</f>
        <v/>
      </c>
      <c r="L192" s="13">
        <f>C192+3*D192*SQRT(0.2/(2-0.2))</f>
        <v/>
      </c>
      <c r="M192" s="13">
        <f>C192-3*D192*SQRT(0.2/(2-0.2))</f>
        <v/>
      </c>
      <c r="N192" s="13">
        <f>MAX(0,N191+(B192-C192-0.5*D192))</f>
        <v/>
      </c>
      <c r="O192" s="13">
        <f>MIN(0,O191+(B192-C192+0.5*D192))</f>
        <v/>
      </c>
      <c r="P192">
        <f>IF(ABS(G192)&gt;1,P191+1,0)</f>
        <v/>
      </c>
      <c r="Q192">
        <f>IFS(OR(ABS(G192)&gt;3,N192&gt;5*D192,ABS(O192)&gt;5*D192,P192&gt;=5),"CRITICAL",OR(ABS(G192)&gt;2,P192&gt;=3,ABS(J192)&gt;3.5),"EARLY WARNING",ABS(G192)&gt;1,"WATCH",TRUE,"NORMAL")</f>
        <v/>
      </c>
    </row>
    <row r="193">
      <c r="A193" s="12" t="n">
        <v>45218</v>
      </c>
      <c r="B193" s="13">
        <f>Raw_Data!B193</f>
        <v/>
      </c>
      <c r="C193" s="13">
        <f>AVERAGE(B164:B193)</f>
        <v/>
      </c>
      <c r="D193" s="13">
        <f>STDEV.S(B164:B193)</f>
        <v/>
      </c>
      <c r="E193" s="13">
        <f>C193+3*D193</f>
        <v/>
      </c>
      <c r="F193" s="13">
        <f>C193-3*D193</f>
        <v/>
      </c>
      <c r="G193" s="15">
        <f>IF(D193=0,"",(B193-C193)/D193)</f>
        <v/>
      </c>
      <c r="H193" s="13">
        <f>MEDIAN(B164:B193)</f>
        <v/>
      </c>
      <c r="I193" s="13">
        <f>MEDIAN(ABS(B164:B193-H193))</f>
        <v/>
      </c>
      <c r="J193" s="15">
        <f>IF(I193=0,"",0.6745*(B193-H193)/I193)</f>
        <v/>
      </c>
      <c r="K193" s="13">
        <f>0.2*B193+0.8*K192</f>
        <v/>
      </c>
      <c r="L193" s="13">
        <f>C193+3*D193*SQRT(0.2/(2-0.2))</f>
        <v/>
      </c>
      <c r="M193" s="13">
        <f>C193-3*D193*SQRT(0.2/(2-0.2))</f>
        <v/>
      </c>
      <c r="N193" s="13">
        <f>MAX(0,N192+(B193-C193-0.5*D193))</f>
        <v/>
      </c>
      <c r="O193" s="13">
        <f>MIN(0,O192+(B193-C193+0.5*D193))</f>
        <v/>
      </c>
      <c r="P193">
        <f>IF(ABS(G193)&gt;1,P192+1,0)</f>
        <v/>
      </c>
      <c r="Q193">
        <f>IFS(OR(ABS(G193)&gt;3,N193&gt;5*D193,ABS(O193)&gt;5*D193,P193&gt;=5),"CRITICAL",OR(ABS(G193)&gt;2,P193&gt;=3,ABS(J193)&gt;3.5),"EARLY WARNING",ABS(G193)&gt;1,"WATCH",TRUE,"NORMAL")</f>
        <v/>
      </c>
    </row>
    <row r="194">
      <c r="A194" s="12" t="n">
        <v>45219</v>
      </c>
      <c r="B194" s="13">
        <f>Raw_Data!B194</f>
        <v/>
      </c>
      <c r="C194" s="13">
        <f>AVERAGE(B165:B194)</f>
        <v/>
      </c>
      <c r="D194" s="13">
        <f>STDEV.S(B165:B194)</f>
        <v/>
      </c>
      <c r="E194" s="13">
        <f>C194+3*D194</f>
        <v/>
      </c>
      <c r="F194" s="13">
        <f>C194-3*D194</f>
        <v/>
      </c>
      <c r="G194" s="15">
        <f>IF(D194=0,"",(B194-C194)/D194)</f>
        <v/>
      </c>
      <c r="H194" s="13">
        <f>MEDIAN(B165:B194)</f>
        <v/>
      </c>
      <c r="I194" s="13">
        <f>MEDIAN(ABS(B165:B194-H194))</f>
        <v/>
      </c>
      <c r="J194" s="15">
        <f>IF(I194=0,"",0.6745*(B194-H194)/I194)</f>
        <v/>
      </c>
      <c r="K194" s="13">
        <f>0.2*B194+0.8*K193</f>
        <v/>
      </c>
      <c r="L194" s="13">
        <f>C194+3*D194*SQRT(0.2/(2-0.2))</f>
        <v/>
      </c>
      <c r="M194" s="13">
        <f>C194-3*D194*SQRT(0.2/(2-0.2))</f>
        <v/>
      </c>
      <c r="N194" s="13">
        <f>MAX(0,N193+(B194-C194-0.5*D194))</f>
        <v/>
      </c>
      <c r="O194" s="13">
        <f>MIN(0,O193+(B194-C194+0.5*D194))</f>
        <v/>
      </c>
      <c r="P194">
        <f>IF(ABS(G194)&gt;1,P193+1,0)</f>
        <v/>
      </c>
      <c r="Q194">
        <f>IFS(OR(ABS(G194)&gt;3,N194&gt;5*D194,ABS(O194)&gt;5*D194,P194&gt;=5),"CRITICAL",OR(ABS(G194)&gt;2,P194&gt;=3,ABS(J194)&gt;3.5),"EARLY WARNING",ABS(G194)&gt;1,"WATCH",TRUE,"NORMAL")</f>
        <v/>
      </c>
    </row>
    <row r="195">
      <c r="A195" s="12" t="n">
        <v>45220</v>
      </c>
      <c r="B195" s="13">
        <f>Raw_Data!B195</f>
        <v/>
      </c>
      <c r="C195" s="13">
        <f>AVERAGE(B166:B195)</f>
        <v/>
      </c>
      <c r="D195" s="13">
        <f>STDEV.S(B166:B195)</f>
        <v/>
      </c>
      <c r="E195" s="13">
        <f>C195+3*D195</f>
        <v/>
      </c>
      <c r="F195" s="13">
        <f>C195-3*D195</f>
        <v/>
      </c>
      <c r="G195" s="15">
        <f>IF(D195=0,"",(B195-C195)/D195)</f>
        <v/>
      </c>
      <c r="H195" s="13">
        <f>MEDIAN(B166:B195)</f>
        <v/>
      </c>
      <c r="I195" s="13">
        <f>MEDIAN(ABS(B166:B195-H195))</f>
        <v/>
      </c>
      <c r="J195" s="15">
        <f>IF(I195=0,"",0.6745*(B195-H195)/I195)</f>
        <v/>
      </c>
      <c r="K195" s="13">
        <f>0.2*B195+0.8*K194</f>
        <v/>
      </c>
      <c r="L195" s="13">
        <f>C195+3*D195*SQRT(0.2/(2-0.2))</f>
        <v/>
      </c>
      <c r="M195" s="13">
        <f>C195-3*D195*SQRT(0.2/(2-0.2))</f>
        <v/>
      </c>
      <c r="N195" s="13">
        <f>MAX(0,N194+(B195-C195-0.5*D195))</f>
        <v/>
      </c>
      <c r="O195" s="13">
        <f>MIN(0,O194+(B195-C195+0.5*D195))</f>
        <v/>
      </c>
      <c r="P195">
        <f>IF(ABS(G195)&gt;1,P194+1,0)</f>
        <v/>
      </c>
      <c r="Q195">
        <f>IFS(OR(ABS(G195)&gt;3,N195&gt;5*D195,ABS(O195)&gt;5*D195,P195&gt;=5),"CRITICAL",OR(ABS(G195)&gt;2,P195&gt;=3,ABS(J195)&gt;3.5),"EARLY WARNING",ABS(G195)&gt;1,"WATCH",TRUE,"NORMAL")</f>
        <v/>
      </c>
    </row>
    <row r="196">
      <c r="A196" s="12" t="n">
        <v>45221</v>
      </c>
      <c r="B196" s="13">
        <f>Raw_Data!B196</f>
        <v/>
      </c>
      <c r="C196" s="13">
        <f>AVERAGE(B167:B196)</f>
        <v/>
      </c>
      <c r="D196" s="13">
        <f>STDEV.S(B167:B196)</f>
        <v/>
      </c>
      <c r="E196" s="13">
        <f>C196+3*D196</f>
        <v/>
      </c>
      <c r="F196" s="13">
        <f>C196-3*D196</f>
        <v/>
      </c>
      <c r="G196" s="15">
        <f>IF(D196=0,"",(B196-C196)/D196)</f>
        <v/>
      </c>
      <c r="H196" s="13">
        <f>MEDIAN(B167:B196)</f>
        <v/>
      </c>
      <c r="I196" s="13">
        <f>MEDIAN(ABS(B167:B196-H196))</f>
        <v/>
      </c>
      <c r="J196" s="15">
        <f>IF(I196=0,"",0.6745*(B196-H196)/I196)</f>
        <v/>
      </c>
      <c r="K196" s="13">
        <f>0.2*B196+0.8*K195</f>
        <v/>
      </c>
      <c r="L196" s="13">
        <f>C196+3*D196*SQRT(0.2/(2-0.2))</f>
        <v/>
      </c>
      <c r="M196" s="13">
        <f>C196-3*D196*SQRT(0.2/(2-0.2))</f>
        <v/>
      </c>
      <c r="N196" s="13">
        <f>MAX(0,N195+(B196-C196-0.5*D196))</f>
        <v/>
      </c>
      <c r="O196" s="13">
        <f>MIN(0,O195+(B196-C196+0.5*D196))</f>
        <v/>
      </c>
      <c r="P196">
        <f>IF(ABS(G196)&gt;1,P195+1,0)</f>
        <v/>
      </c>
      <c r="Q196">
        <f>IFS(OR(ABS(G196)&gt;3,N196&gt;5*D196,ABS(O196)&gt;5*D196,P196&gt;=5),"CRITICAL",OR(ABS(G196)&gt;2,P196&gt;=3,ABS(J196)&gt;3.5),"EARLY WARNING",ABS(G196)&gt;1,"WATCH",TRUE,"NORMAL")</f>
        <v/>
      </c>
    </row>
    <row r="197">
      <c r="A197" s="12" t="n">
        <v>45222</v>
      </c>
      <c r="B197" s="13">
        <f>Raw_Data!B197</f>
        <v/>
      </c>
      <c r="C197" s="13">
        <f>AVERAGE(B168:B197)</f>
        <v/>
      </c>
      <c r="D197" s="13">
        <f>STDEV.S(B168:B197)</f>
        <v/>
      </c>
      <c r="E197" s="13">
        <f>C197+3*D197</f>
        <v/>
      </c>
      <c r="F197" s="13">
        <f>C197-3*D197</f>
        <v/>
      </c>
      <c r="G197" s="15">
        <f>IF(D197=0,"",(B197-C197)/D197)</f>
        <v/>
      </c>
      <c r="H197" s="13">
        <f>MEDIAN(B168:B197)</f>
        <v/>
      </c>
      <c r="I197" s="13">
        <f>MEDIAN(ABS(B168:B197-H197))</f>
        <v/>
      </c>
      <c r="J197" s="15">
        <f>IF(I197=0,"",0.6745*(B197-H197)/I197)</f>
        <v/>
      </c>
      <c r="K197" s="13">
        <f>0.2*B197+0.8*K196</f>
        <v/>
      </c>
      <c r="L197" s="13">
        <f>C197+3*D197*SQRT(0.2/(2-0.2))</f>
        <v/>
      </c>
      <c r="M197" s="13">
        <f>C197-3*D197*SQRT(0.2/(2-0.2))</f>
        <v/>
      </c>
      <c r="N197" s="13">
        <f>MAX(0,N196+(B197-C197-0.5*D197))</f>
        <v/>
      </c>
      <c r="O197" s="13">
        <f>MIN(0,O196+(B197-C197+0.5*D197))</f>
        <v/>
      </c>
      <c r="P197">
        <f>IF(ABS(G197)&gt;1,P196+1,0)</f>
        <v/>
      </c>
      <c r="Q197">
        <f>IFS(OR(ABS(G197)&gt;3,N197&gt;5*D197,ABS(O197)&gt;5*D197,P197&gt;=5),"CRITICAL",OR(ABS(G197)&gt;2,P197&gt;=3,ABS(J197)&gt;3.5),"EARLY WARNING",ABS(G197)&gt;1,"WATCH",TRUE,"NORMAL")</f>
        <v/>
      </c>
    </row>
    <row r="198">
      <c r="A198" s="12" t="n">
        <v>45223</v>
      </c>
      <c r="B198" s="13">
        <f>Raw_Data!B198</f>
        <v/>
      </c>
      <c r="C198" s="13">
        <f>AVERAGE(B169:B198)</f>
        <v/>
      </c>
      <c r="D198" s="13">
        <f>STDEV.S(B169:B198)</f>
        <v/>
      </c>
      <c r="E198" s="13">
        <f>C198+3*D198</f>
        <v/>
      </c>
      <c r="F198" s="13">
        <f>C198-3*D198</f>
        <v/>
      </c>
      <c r="G198" s="15">
        <f>IF(D198=0,"",(B198-C198)/D198)</f>
        <v/>
      </c>
      <c r="H198" s="13">
        <f>MEDIAN(B169:B198)</f>
        <v/>
      </c>
      <c r="I198" s="13">
        <f>MEDIAN(ABS(B169:B198-H198))</f>
        <v/>
      </c>
      <c r="J198" s="15">
        <f>IF(I198=0,"",0.6745*(B198-H198)/I198)</f>
        <v/>
      </c>
      <c r="K198" s="13">
        <f>0.2*B198+0.8*K197</f>
        <v/>
      </c>
      <c r="L198" s="13">
        <f>C198+3*D198*SQRT(0.2/(2-0.2))</f>
        <v/>
      </c>
      <c r="M198" s="13">
        <f>C198-3*D198*SQRT(0.2/(2-0.2))</f>
        <v/>
      </c>
      <c r="N198" s="13">
        <f>MAX(0,N197+(B198-C198-0.5*D198))</f>
        <v/>
      </c>
      <c r="O198" s="13">
        <f>MIN(0,O197+(B198-C198+0.5*D198))</f>
        <v/>
      </c>
      <c r="P198">
        <f>IF(ABS(G198)&gt;1,P197+1,0)</f>
        <v/>
      </c>
      <c r="Q198">
        <f>IFS(OR(ABS(G198)&gt;3,N198&gt;5*D198,ABS(O198)&gt;5*D198,P198&gt;=5),"CRITICAL",OR(ABS(G198)&gt;2,P198&gt;=3,ABS(J198)&gt;3.5),"EARLY WARNING",ABS(G198)&gt;1,"WATCH",TRUE,"NORMAL")</f>
        <v/>
      </c>
    </row>
    <row r="199">
      <c r="A199" s="12" t="n">
        <v>45224</v>
      </c>
      <c r="B199" s="13">
        <f>Raw_Data!B199</f>
        <v/>
      </c>
      <c r="C199" s="13">
        <f>AVERAGE(B170:B199)</f>
        <v/>
      </c>
      <c r="D199" s="13">
        <f>STDEV.S(B170:B199)</f>
        <v/>
      </c>
      <c r="E199" s="13">
        <f>C199+3*D199</f>
        <v/>
      </c>
      <c r="F199" s="13">
        <f>C199-3*D199</f>
        <v/>
      </c>
      <c r="G199" s="15">
        <f>IF(D199=0,"",(B199-C199)/D199)</f>
        <v/>
      </c>
      <c r="H199" s="13">
        <f>MEDIAN(B170:B199)</f>
        <v/>
      </c>
      <c r="I199" s="13">
        <f>MEDIAN(ABS(B170:B199-H199))</f>
        <v/>
      </c>
      <c r="J199" s="15">
        <f>IF(I199=0,"",0.6745*(B199-H199)/I199)</f>
        <v/>
      </c>
      <c r="K199" s="13">
        <f>0.2*B199+0.8*K198</f>
        <v/>
      </c>
      <c r="L199" s="13">
        <f>C199+3*D199*SQRT(0.2/(2-0.2))</f>
        <v/>
      </c>
      <c r="M199" s="13">
        <f>C199-3*D199*SQRT(0.2/(2-0.2))</f>
        <v/>
      </c>
      <c r="N199" s="13">
        <f>MAX(0,N198+(B199-C199-0.5*D199))</f>
        <v/>
      </c>
      <c r="O199" s="13">
        <f>MIN(0,O198+(B199-C199+0.5*D199))</f>
        <v/>
      </c>
      <c r="P199">
        <f>IF(ABS(G199)&gt;1,P198+1,0)</f>
        <v/>
      </c>
      <c r="Q199">
        <f>IFS(OR(ABS(G199)&gt;3,N199&gt;5*D199,ABS(O199)&gt;5*D199,P199&gt;=5),"CRITICAL",OR(ABS(G199)&gt;2,P199&gt;=3,ABS(J199)&gt;3.5),"EARLY WARNING",ABS(G199)&gt;1,"WATCH",TRUE,"NORMAL")</f>
        <v/>
      </c>
    </row>
    <row r="200">
      <c r="A200" s="12" t="n">
        <v>45225</v>
      </c>
      <c r="B200" s="13">
        <f>Raw_Data!B200</f>
        <v/>
      </c>
      <c r="C200" s="13">
        <f>AVERAGE(B171:B200)</f>
        <v/>
      </c>
      <c r="D200" s="13">
        <f>STDEV.S(B171:B200)</f>
        <v/>
      </c>
      <c r="E200" s="13">
        <f>C200+3*D200</f>
        <v/>
      </c>
      <c r="F200" s="13">
        <f>C200-3*D200</f>
        <v/>
      </c>
      <c r="G200" s="15">
        <f>IF(D200=0,"",(B200-C200)/D200)</f>
        <v/>
      </c>
      <c r="H200" s="13">
        <f>MEDIAN(B171:B200)</f>
        <v/>
      </c>
      <c r="I200" s="13">
        <f>MEDIAN(ABS(B171:B200-H200))</f>
        <v/>
      </c>
      <c r="J200" s="15">
        <f>IF(I200=0,"",0.6745*(B200-H200)/I200)</f>
        <v/>
      </c>
      <c r="K200" s="13">
        <f>0.2*B200+0.8*K199</f>
        <v/>
      </c>
      <c r="L200" s="13">
        <f>C200+3*D200*SQRT(0.2/(2-0.2))</f>
        <v/>
      </c>
      <c r="M200" s="13">
        <f>C200-3*D200*SQRT(0.2/(2-0.2))</f>
        <v/>
      </c>
      <c r="N200" s="13">
        <f>MAX(0,N199+(B200-C200-0.5*D200))</f>
        <v/>
      </c>
      <c r="O200" s="13">
        <f>MIN(0,O199+(B200-C200+0.5*D200))</f>
        <v/>
      </c>
      <c r="P200">
        <f>IF(ABS(G200)&gt;1,P199+1,0)</f>
        <v/>
      </c>
      <c r="Q200">
        <f>IFS(OR(ABS(G200)&gt;3,N200&gt;5*D200,ABS(O200)&gt;5*D200,P200&gt;=5),"CRITICAL",OR(ABS(G200)&gt;2,P200&gt;=3,ABS(J200)&gt;3.5),"EARLY WARNING",ABS(G200)&gt;1,"WATCH",TRUE,"NORMAL")</f>
        <v/>
      </c>
    </row>
    <row r="201">
      <c r="A201" s="12" t="n">
        <v>45226</v>
      </c>
      <c r="B201" s="13">
        <f>Raw_Data!B201</f>
        <v/>
      </c>
      <c r="C201" s="13">
        <f>AVERAGE(B172:B201)</f>
        <v/>
      </c>
      <c r="D201" s="13">
        <f>STDEV.S(B172:B201)</f>
        <v/>
      </c>
      <c r="E201" s="13">
        <f>C201+3*D201</f>
        <v/>
      </c>
      <c r="F201" s="13">
        <f>C201-3*D201</f>
        <v/>
      </c>
      <c r="G201" s="15">
        <f>IF(D201=0,"",(B201-C201)/D201)</f>
        <v/>
      </c>
      <c r="H201" s="13">
        <f>MEDIAN(B172:B201)</f>
        <v/>
      </c>
      <c r="I201" s="13">
        <f>MEDIAN(ABS(B172:B201-H201))</f>
        <v/>
      </c>
      <c r="J201" s="15">
        <f>IF(I201=0,"",0.6745*(B201-H201)/I201)</f>
        <v/>
      </c>
      <c r="K201" s="13">
        <f>0.2*B201+0.8*K200</f>
        <v/>
      </c>
      <c r="L201" s="13">
        <f>C201+3*D201*SQRT(0.2/(2-0.2))</f>
        <v/>
      </c>
      <c r="M201" s="13">
        <f>C201-3*D201*SQRT(0.2/(2-0.2))</f>
        <v/>
      </c>
      <c r="N201" s="13">
        <f>MAX(0,N200+(B201-C201-0.5*D201))</f>
        <v/>
      </c>
      <c r="O201" s="13">
        <f>MIN(0,O200+(B201-C201+0.5*D201))</f>
        <v/>
      </c>
      <c r="P201">
        <f>IF(ABS(G201)&gt;1,P200+1,0)</f>
        <v/>
      </c>
      <c r="Q201">
        <f>IFS(OR(ABS(G201)&gt;3,N201&gt;5*D201,ABS(O201)&gt;5*D201,P201&gt;=5),"CRITICAL",OR(ABS(G201)&gt;2,P201&gt;=3,ABS(J201)&gt;3.5),"EARLY WARNING",ABS(G201)&gt;1,"WATCH",TRUE,"NORMAL")</f>
        <v/>
      </c>
    </row>
    <row r="202">
      <c r="A202" s="12" t="n">
        <v>45227</v>
      </c>
      <c r="B202" s="13">
        <f>Raw_Data!B202</f>
        <v/>
      </c>
      <c r="C202" s="13">
        <f>AVERAGE(B173:B202)</f>
        <v/>
      </c>
      <c r="D202" s="13">
        <f>STDEV.S(B173:B202)</f>
        <v/>
      </c>
      <c r="E202" s="13">
        <f>C202+3*D202</f>
        <v/>
      </c>
      <c r="F202" s="13">
        <f>C202-3*D202</f>
        <v/>
      </c>
      <c r="G202" s="15">
        <f>IF(D202=0,"",(B202-C202)/D202)</f>
        <v/>
      </c>
      <c r="H202" s="13">
        <f>MEDIAN(B173:B202)</f>
        <v/>
      </c>
      <c r="I202" s="13">
        <f>MEDIAN(ABS(B173:B202-H202))</f>
        <v/>
      </c>
      <c r="J202" s="15">
        <f>IF(I202=0,"",0.6745*(B202-H202)/I202)</f>
        <v/>
      </c>
      <c r="K202" s="13">
        <f>0.2*B202+0.8*K201</f>
        <v/>
      </c>
      <c r="L202" s="13">
        <f>C202+3*D202*SQRT(0.2/(2-0.2))</f>
        <v/>
      </c>
      <c r="M202" s="13">
        <f>C202-3*D202*SQRT(0.2/(2-0.2))</f>
        <v/>
      </c>
      <c r="N202" s="13">
        <f>MAX(0,N201+(B202-C202-0.5*D202))</f>
        <v/>
      </c>
      <c r="O202" s="13">
        <f>MIN(0,O201+(B202-C202+0.5*D202))</f>
        <v/>
      </c>
      <c r="P202">
        <f>IF(ABS(G202)&gt;1,P201+1,0)</f>
        <v/>
      </c>
      <c r="Q202">
        <f>IFS(OR(ABS(G202)&gt;3,N202&gt;5*D202,ABS(O202)&gt;5*D202,P202&gt;=5),"CRITICAL",OR(ABS(G202)&gt;2,P202&gt;=3,ABS(J202)&gt;3.5),"EARLY WARNING",ABS(G202)&gt;1,"WATCH",TRUE,"NORMAL")</f>
        <v/>
      </c>
    </row>
    <row r="203">
      <c r="A203" s="12" t="n">
        <v>45228</v>
      </c>
      <c r="B203" s="13">
        <f>Raw_Data!B203</f>
        <v/>
      </c>
      <c r="C203" s="13">
        <f>AVERAGE(B174:B203)</f>
        <v/>
      </c>
      <c r="D203" s="13">
        <f>STDEV.S(B174:B203)</f>
        <v/>
      </c>
      <c r="E203" s="13">
        <f>C203+3*D203</f>
        <v/>
      </c>
      <c r="F203" s="13">
        <f>C203-3*D203</f>
        <v/>
      </c>
      <c r="G203" s="15">
        <f>IF(D203=0,"",(B203-C203)/D203)</f>
        <v/>
      </c>
      <c r="H203" s="13">
        <f>MEDIAN(B174:B203)</f>
        <v/>
      </c>
      <c r="I203" s="13">
        <f>MEDIAN(ABS(B174:B203-H203))</f>
        <v/>
      </c>
      <c r="J203" s="15">
        <f>IF(I203=0,"",0.6745*(B203-H203)/I203)</f>
        <v/>
      </c>
      <c r="K203" s="13">
        <f>0.2*B203+0.8*K202</f>
        <v/>
      </c>
      <c r="L203" s="13">
        <f>C203+3*D203*SQRT(0.2/(2-0.2))</f>
        <v/>
      </c>
      <c r="M203" s="13">
        <f>C203-3*D203*SQRT(0.2/(2-0.2))</f>
        <v/>
      </c>
      <c r="N203" s="13">
        <f>MAX(0,N202+(B203-C203-0.5*D203))</f>
        <v/>
      </c>
      <c r="O203" s="13">
        <f>MIN(0,O202+(B203-C203+0.5*D203))</f>
        <v/>
      </c>
      <c r="P203">
        <f>IF(ABS(G203)&gt;1,P202+1,0)</f>
        <v/>
      </c>
      <c r="Q203">
        <f>IFS(OR(ABS(G203)&gt;3,N203&gt;5*D203,ABS(O203)&gt;5*D203,P203&gt;=5),"CRITICAL",OR(ABS(G203)&gt;2,P203&gt;=3,ABS(J203)&gt;3.5),"EARLY WARNING",ABS(G203)&gt;1,"WATCH",TRUE,"NORMAL")</f>
        <v/>
      </c>
    </row>
    <row r="204">
      <c r="A204" s="12" t="n">
        <v>45229</v>
      </c>
      <c r="B204" s="13">
        <f>Raw_Data!B204</f>
        <v/>
      </c>
      <c r="C204" s="13">
        <f>AVERAGE(B175:B204)</f>
        <v/>
      </c>
      <c r="D204" s="13">
        <f>STDEV.S(B175:B204)</f>
        <v/>
      </c>
      <c r="E204" s="13">
        <f>C204+3*D204</f>
        <v/>
      </c>
      <c r="F204" s="13">
        <f>C204-3*D204</f>
        <v/>
      </c>
      <c r="G204" s="15">
        <f>IF(D204=0,"",(B204-C204)/D204)</f>
        <v/>
      </c>
      <c r="H204" s="13">
        <f>MEDIAN(B175:B204)</f>
        <v/>
      </c>
      <c r="I204" s="13">
        <f>MEDIAN(ABS(B175:B204-H204))</f>
        <v/>
      </c>
      <c r="J204" s="15">
        <f>IF(I204=0,"",0.6745*(B204-H204)/I204)</f>
        <v/>
      </c>
      <c r="K204" s="13">
        <f>0.2*B204+0.8*K203</f>
        <v/>
      </c>
      <c r="L204" s="13">
        <f>C204+3*D204*SQRT(0.2/(2-0.2))</f>
        <v/>
      </c>
      <c r="M204" s="13">
        <f>C204-3*D204*SQRT(0.2/(2-0.2))</f>
        <v/>
      </c>
      <c r="N204" s="13">
        <f>MAX(0,N203+(B204-C204-0.5*D204))</f>
        <v/>
      </c>
      <c r="O204" s="13">
        <f>MIN(0,O203+(B204-C204+0.5*D204))</f>
        <v/>
      </c>
      <c r="P204">
        <f>IF(ABS(G204)&gt;1,P203+1,0)</f>
        <v/>
      </c>
      <c r="Q204">
        <f>IFS(OR(ABS(G204)&gt;3,N204&gt;5*D204,ABS(O204)&gt;5*D204,P204&gt;=5),"CRITICAL",OR(ABS(G204)&gt;2,P204&gt;=3,ABS(J204)&gt;3.5),"EARLY WARNING",ABS(G204)&gt;1,"WATCH",TRUE,"NORMAL")</f>
        <v/>
      </c>
    </row>
    <row r="205">
      <c r="A205" s="12" t="n">
        <v>45230</v>
      </c>
      <c r="B205" s="13">
        <f>Raw_Data!B205</f>
        <v/>
      </c>
      <c r="C205" s="13">
        <f>AVERAGE(B176:B205)</f>
        <v/>
      </c>
      <c r="D205" s="13">
        <f>STDEV.S(B176:B205)</f>
        <v/>
      </c>
      <c r="E205" s="13">
        <f>C205+3*D205</f>
        <v/>
      </c>
      <c r="F205" s="13">
        <f>C205-3*D205</f>
        <v/>
      </c>
      <c r="G205" s="15">
        <f>IF(D205=0,"",(B205-C205)/D205)</f>
        <v/>
      </c>
      <c r="H205" s="13">
        <f>MEDIAN(B176:B205)</f>
        <v/>
      </c>
      <c r="I205" s="13">
        <f>MEDIAN(ABS(B176:B205-H205))</f>
        <v/>
      </c>
      <c r="J205" s="15">
        <f>IF(I205=0,"",0.6745*(B205-H205)/I205)</f>
        <v/>
      </c>
      <c r="K205" s="13">
        <f>0.2*B205+0.8*K204</f>
        <v/>
      </c>
      <c r="L205" s="13">
        <f>C205+3*D205*SQRT(0.2/(2-0.2))</f>
        <v/>
      </c>
      <c r="M205" s="13">
        <f>C205-3*D205*SQRT(0.2/(2-0.2))</f>
        <v/>
      </c>
      <c r="N205" s="13">
        <f>MAX(0,N204+(B205-C205-0.5*D205))</f>
        <v/>
      </c>
      <c r="O205" s="13">
        <f>MIN(0,O204+(B205-C205+0.5*D205))</f>
        <v/>
      </c>
      <c r="P205">
        <f>IF(ABS(G205)&gt;1,P204+1,0)</f>
        <v/>
      </c>
      <c r="Q205">
        <f>IFS(OR(ABS(G205)&gt;3,N205&gt;5*D205,ABS(O205)&gt;5*D205,P205&gt;=5),"CRITICAL",OR(ABS(G205)&gt;2,P205&gt;=3,ABS(J205)&gt;3.5),"EARLY WARNING",ABS(G205)&gt;1,"WATCH",TRUE,"NORMAL")</f>
        <v/>
      </c>
    </row>
    <row r="206">
      <c r="A206" s="12" t="n">
        <v>45231</v>
      </c>
      <c r="B206" s="13">
        <f>Raw_Data!B206</f>
        <v/>
      </c>
      <c r="C206" s="13">
        <f>AVERAGE(B177:B206)</f>
        <v/>
      </c>
      <c r="D206" s="13">
        <f>STDEV.S(B177:B206)</f>
        <v/>
      </c>
      <c r="E206" s="13">
        <f>C206+3*D206</f>
        <v/>
      </c>
      <c r="F206" s="13">
        <f>C206-3*D206</f>
        <v/>
      </c>
      <c r="G206" s="15">
        <f>IF(D206=0,"",(B206-C206)/D206)</f>
        <v/>
      </c>
      <c r="H206" s="13">
        <f>MEDIAN(B177:B206)</f>
        <v/>
      </c>
      <c r="I206" s="13">
        <f>MEDIAN(ABS(B177:B206-H206))</f>
        <v/>
      </c>
      <c r="J206" s="15">
        <f>IF(I206=0,"",0.6745*(B206-H206)/I206)</f>
        <v/>
      </c>
      <c r="K206" s="13">
        <f>0.2*B206+0.8*K205</f>
        <v/>
      </c>
      <c r="L206" s="13">
        <f>C206+3*D206*SQRT(0.2/(2-0.2))</f>
        <v/>
      </c>
      <c r="M206" s="13">
        <f>C206-3*D206*SQRT(0.2/(2-0.2))</f>
        <v/>
      </c>
      <c r="N206" s="13">
        <f>MAX(0,N205+(B206-C206-0.5*D206))</f>
        <v/>
      </c>
      <c r="O206" s="13">
        <f>MIN(0,O205+(B206-C206+0.5*D206))</f>
        <v/>
      </c>
      <c r="P206">
        <f>IF(ABS(G206)&gt;1,P205+1,0)</f>
        <v/>
      </c>
      <c r="Q206">
        <f>IFS(OR(ABS(G206)&gt;3,N206&gt;5*D206,ABS(O206)&gt;5*D206,P206&gt;=5),"CRITICAL",OR(ABS(G206)&gt;2,P206&gt;=3,ABS(J206)&gt;3.5),"EARLY WARNING",ABS(G206)&gt;1,"WATCH",TRUE,"NORMAL")</f>
        <v/>
      </c>
    </row>
    <row r="207">
      <c r="A207" s="12" t="n">
        <v>45232</v>
      </c>
      <c r="B207" s="13">
        <f>Raw_Data!B207</f>
        <v/>
      </c>
      <c r="C207" s="13">
        <f>AVERAGE(B178:B207)</f>
        <v/>
      </c>
      <c r="D207" s="13">
        <f>STDEV.S(B178:B207)</f>
        <v/>
      </c>
      <c r="E207" s="13">
        <f>C207+3*D207</f>
        <v/>
      </c>
      <c r="F207" s="13">
        <f>C207-3*D207</f>
        <v/>
      </c>
      <c r="G207" s="15">
        <f>IF(D207=0,"",(B207-C207)/D207)</f>
        <v/>
      </c>
      <c r="H207" s="13">
        <f>MEDIAN(B178:B207)</f>
        <v/>
      </c>
      <c r="I207" s="13">
        <f>MEDIAN(ABS(B178:B207-H207))</f>
        <v/>
      </c>
      <c r="J207" s="15">
        <f>IF(I207=0,"",0.6745*(B207-H207)/I207)</f>
        <v/>
      </c>
      <c r="K207" s="13">
        <f>0.2*B207+0.8*K206</f>
        <v/>
      </c>
      <c r="L207" s="13">
        <f>C207+3*D207*SQRT(0.2/(2-0.2))</f>
        <v/>
      </c>
      <c r="M207" s="13">
        <f>C207-3*D207*SQRT(0.2/(2-0.2))</f>
        <v/>
      </c>
      <c r="N207" s="13">
        <f>MAX(0,N206+(B207-C207-0.5*D207))</f>
        <v/>
      </c>
      <c r="O207" s="13">
        <f>MIN(0,O206+(B207-C207+0.5*D207))</f>
        <v/>
      </c>
      <c r="P207">
        <f>IF(ABS(G207)&gt;1,P206+1,0)</f>
        <v/>
      </c>
      <c r="Q207">
        <f>IFS(OR(ABS(G207)&gt;3,N207&gt;5*D207,ABS(O207)&gt;5*D207,P207&gt;=5),"CRITICAL",OR(ABS(G207)&gt;2,P207&gt;=3,ABS(J207)&gt;3.5),"EARLY WARNING",ABS(G207)&gt;1,"WATCH",TRUE,"NORMAL")</f>
        <v/>
      </c>
    </row>
    <row r="208">
      <c r="A208" s="12" t="n">
        <v>45233</v>
      </c>
      <c r="B208" s="13">
        <f>Raw_Data!B208</f>
        <v/>
      </c>
      <c r="C208" s="13">
        <f>AVERAGE(B179:B208)</f>
        <v/>
      </c>
      <c r="D208" s="13">
        <f>STDEV.S(B179:B208)</f>
        <v/>
      </c>
      <c r="E208" s="13">
        <f>C208+3*D208</f>
        <v/>
      </c>
      <c r="F208" s="13">
        <f>C208-3*D208</f>
        <v/>
      </c>
      <c r="G208" s="15">
        <f>IF(D208=0,"",(B208-C208)/D208)</f>
        <v/>
      </c>
      <c r="H208" s="13">
        <f>MEDIAN(B179:B208)</f>
        <v/>
      </c>
      <c r="I208" s="13">
        <f>MEDIAN(ABS(B179:B208-H208))</f>
        <v/>
      </c>
      <c r="J208" s="15">
        <f>IF(I208=0,"",0.6745*(B208-H208)/I208)</f>
        <v/>
      </c>
      <c r="K208" s="13">
        <f>0.2*B208+0.8*K207</f>
        <v/>
      </c>
      <c r="L208" s="13">
        <f>C208+3*D208*SQRT(0.2/(2-0.2))</f>
        <v/>
      </c>
      <c r="M208" s="13">
        <f>C208-3*D208*SQRT(0.2/(2-0.2))</f>
        <v/>
      </c>
      <c r="N208" s="13">
        <f>MAX(0,N207+(B208-C208-0.5*D208))</f>
        <v/>
      </c>
      <c r="O208" s="13">
        <f>MIN(0,O207+(B208-C208+0.5*D208))</f>
        <v/>
      </c>
      <c r="P208">
        <f>IF(ABS(G208)&gt;1,P207+1,0)</f>
        <v/>
      </c>
      <c r="Q208">
        <f>IFS(OR(ABS(G208)&gt;3,N208&gt;5*D208,ABS(O208)&gt;5*D208,P208&gt;=5),"CRITICAL",OR(ABS(G208)&gt;2,P208&gt;=3,ABS(J208)&gt;3.5),"EARLY WARNING",ABS(G208)&gt;1,"WATCH",TRUE,"NORMAL")</f>
        <v/>
      </c>
    </row>
    <row r="209">
      <c r="A209" s="12" t="n">
        <v>45234</v>
      </c>
      <c r="B209" s="13">
        <f>Raw_Data!B209</f>
        <v/>
      </c>
      <c r="C209" s="13">
        <f>AVERAGE(B180:B209)</f>
        <v/>
      </c>
      <c r="D209" s="13">
        <f>STDEV.S(B180:B209)</f>
        <v/>
      </c>
      <c r="E209" s="13">
        <f>C209+3*D209</f>
        <v/>
      </c>
      <c r="F209" s="13">
        <f>C209-3*D209</f>
        <v/>
      </c>
      <c r="G209" s="15">
        <f>IF(D209=0,"",(B209-C209)/D209)</f>
        <v/>
      </c>
      <c r="H209" s="13">
        <f>MEDIAN(B180:B209)</f>
        <v/>
      </c>
      <c r="I209" s="13">
        <f>MEDIAN(ABS(B180:B209-H209))</f>
        <v/>
      </c>
      <c r="J209" s="15">
        <f>IF(I209=0,"",0.6745*(B209-H209)/I209)</f>
        <v/>
      </c>
      <c r="K209" s="13">
        <f>0.2*B209+0.8*K208</f>
        <v/>
      </c>
      <c r="L209" s="13">
        <f>C209+3*D209*SQRT(0.2/(2-0.2))</f>
        <v/>
      </c>
      <c r="M209" s="13">
        <f>C209-3*D209*SQRT(0.2/(2-0.2))</f>
        <v/>
      </c>
      <c r="N209" s="13">
        <f>MAX(0,N208+(B209-C209-0.5*D209))</f>
        <v/>
      </c>
      <c r="O209" s="13">
        <f>MIN(0,O208+(B209-C209+0.5*D209))</f>
        <v/>
      </c>
      <c r="P209">
        <f>IF(ABS(G209)&gt;1,P208+1,0)</f>
        <v/>
      </c>
      <c r="Q209">
        <f>IFS(OR(ABS(G209)&gt;3,N209&gt;5*D209,ABS(O209)&gt;5*D209,P209&gt;=5),"CRITICAL",OR(ABS(G209)&gt;2,P209&gt;=3,ABS(J209)&gt;3.5),"EARLY WARNING",ABS(G209)&gt;1,"WATCH",TRUE,"NORMAL")</f>
        <v/>
      </c>
    </row>
    <row r="210">
      <c r="A210" s="12" t="n">
        <v>45235</v>
      </c>
      <c r="B210" s="13">
        <f>Raw_Data!B210</f>
        <v/>
      </c>
      <c r="C210" s="13">
        <f>AVERAGE(B181:B210)</f>
        <v/>
      </c>
      <c r="D210" s="13">
        <f>STDEV.S(B181:B210)</f>
        <v/>
      </c>
      <c r="E210" s="13">
        <f>C210+3*D210</f>
        <v/>
      </c>
      <c r="F210" s="13">
        <f>C210-3*D210</f>
        <v/>
      </c>
      <c r="G210" s="15">
        <f>IF(D210=0,"",(B210-C210)/D210)</f>
        <v/>
      </c>
      <c r="H210" s="13">
        <f>MEDIAN(B181:B210)</f>
        <v/>
      </c>
      <c r="I210" s="13">
        <f>MEDIAN(ABS(B181:B210-H210))</f>
        <v/>
      </c>
      <c r="J210" s="15">
        <f>IF(I210=0,"",0.6745*(B210-H210)/I210)</f>
        <v/>
      </c>
      <c r="K210" s="13">
        <f>0.2*B210+0.8*K209</f>
        <v/>
      </c>
      <c r="L210" s="13">
        <f>C210+3*D210*SQRT(0.2/(2-0.2))</f>
        <v/>
      </c>
      <c r="M210" s="13">
        <f>C210-3*D210*SQRT(0.2/(2-0.2))</f>
        <v/>
      </c>
      <c r="N210" s="13">
        <f>MAX(0,N209+(B210-C210-0.5*D210))</f>
        <v/>
      </c>
      <c r="O210" s="13">
        <f>MIN(0,O209+(B210-C210+0.5*D210))</f>
        <v/>
      </c>
      <c r="P210">
        <f>IF(ABS(G210)&gt;1,P209+1,0)</f>
        <v/>
      </c>
      <c r="Q210">
        <f>IFS(OR(ABS(G210)&gt;3,N210&gt;5*D210,ABS(O210)&gt;5*D210,P210&gt;=5),"CRITICAL",OR(ABS(G210)&gt;2,P210&gt;=3,ABS(J210)&gt;3.5),"EARLY WARNING",ABS(G210)&gt;1,"WATCH",TRUE,"NORMAL")</f>
        <v/>
      </c>
    </row>
    <row r="211">
      <c r="A211" s="12" t="n">
        <v>45236</v>
      </c>
      <c r="B211" s="13">
        <f>Raw_Data!B211</f>
        <v/>
      </c>
      <c r="C211" s="13">
        <f>AVERAGE(B182:B211)</f>
        <v/>
      </c>
      <c r="D211" s="13">
        <f>STDEV.S(B182:B211)</f>
        <v/>
      </c>
      <c r="E211" s="13">
        <f>C211+3*D211</f>
        <v/>
      </c>
      <c r="F211" s="13">
        <f>C211-3*D211</f>
        <v/>
      </c>
      <c r="G211" s="15">
        <f>IF(D211=0,"",(B211-C211)/D211)</f>
        <v/>
      </c>
      <c r="H211" s="13">
        <f>MEDIAN(B182:B211)</f>
        <v/>
      </c>
      <c r="I211" s="13">
        <f>MEDIAN(ABS(B182:B211-H211))</f>
        <v/>
      </c>
      <c r="J211" s="15">
        <f>IF(I211=0,"",0.6745*(B211-H211)/I211)</f>
        <v/>
      </c>
      <c r="K211" s="13">
        <f>0.2*B211+0.8*K210</f>
        <v/>
      </c>
      <c r="L211" s="13">
        <f>C211+3*D211*SQRT(0.2/(2-0.2))</f>
        <v/>
      </c>
      <c r="M211" s="13">
        <f>C211-3*D211*SQRT(0.2/(2-0.2))</f>
        <v/>
      </c>
      <c r="N211" s="13">
        <f>MAX(0,N210+(B211-C211-0.5*D211))</f>
        <v/>
      </c>
      <c r="O211" s="13">
        <f>MIN(0,O210+(B211-C211+0.5*D211))</f>
        <v/>
      </c>
      <c r="P211">
        <f>IF(ABS(G211)&gt;1,P210+1,0)</f>
        <v/>
      </c>
      <c r="Q211">
        <f>IFS(OR(ABS(G211)&gt;3,N211&gt;5*D211,ABS(O211)&gt;5*D211,P211&gt;=5),"CRITICAL",OR(ABS(G211)&gt;2,P211&gt;=3,ABS(J211)&gt;3.5),"EARLY WARNING",ABS(G211)&gt;1,"WATCH",TRUE,"NORMAL")</f>
        <v/>
      </c>
    </row>
    <row r="212">
      <c r="A212" s="12" t="n">
        <v>45237</v>
      </c>
      <c r="B212" s="13">
        <f>Raw_Data!B212</f>
        <v/>
      </c>
      <c r="C212" s="13">
        <f>AVERAGE(B183:B212)</f>
        <v/>
      </c>
      <c r="D212" s="13">
        <f>STDEV.S(B183:B212)</f>
        <v/>
      </c>
      <c r="E212" s="13">
        <f>C212+3*D212</f>
        <v/>
      </c>
      <c r="F212" s="13">
        <f>C212-3*D212</f>
        <v/>
      </c>
      <c r="G212" s="15">
        <f>IF(D212=0,"",(B212-C212)/D212)</f>
        <v/>
      </c>
      <c r="H212" s="13">
        <f>MEDIAN(B183:B212)</f>
        <v/>
      </c>
      <c r="I212" s="13">
        <f>MEDIAN(ABS(B183:B212-H212))</f>
        <v/>
      </c>
      <c r="J212" s="15">
        <f>IF(I212=0,"",0.6745*(B212-H212)/I212)</f>
        <v/>
      </c>
      <c r="K212" s="13">
        <f>0.2*B212+0.8*K211</f>
        <v/>
      </c>
      <c r="L212" s="13">
        <f>C212+3*D212*SQRT(0.2/(2-0.2))</f>
        <v/>
      </c>
      <c r="M212" s="13">
        <f>C212-3*D212*SQRT(0.2/(2-0.2))</f>
        <v/>
      </c>
      <c r="N212" s="13">
        <f>MAX(0,N211+(B212-C212-0.5*D212))</f>
        <v/>
      </c>
      <c r="O212" s="13">
        <f>MIN(0,O211+(B212-C212+0.5*D212))</f>
        <v/>
      </c>
      <c r="P212">
        <f>IF(ABS(G212)&gt;1,P211+1,0)</f>
        <v/>
      </c>
      <c r="Q212">
        <f>IFS(OR(ABS(G212)&gt;3,N212&gt;5*D212,ABS(O212)&gt;5*D212,P212&gt;=5),"CRITICAL",OR(ABS(G212)&gt;2,P212&gt;=3,ABS(J212)&gt;3.5),"EARLY WARNING",ABS(G212)&gt;1,"WATCH",TRUE,"NORMAL")</f>
        <v/>
      </c>
    </row>
    <row r="213">
      <c r="A213" s="12" t="n">
        <v>45238</v>
      </c>
      <c r="B213" s="13">
        <f>Raw_Data!B213</f>
        <v/>
      </c>
      <c r="C213" s="13">
        <f>AVERAGE(B184:B213)</f>
        <v/>
      </c>
      <c r="D213" s="13">
        <f>STDEV.S(B184:B213)</f>
        <v/>
      </c>
      <c r="E213" s="13">
        <f>C213+3*D213</f>
        <v/>
      </c>
      <c r="F213" s="13">
        <f>C213-3*D213</f>
        <v/>
      </c>
      <c r="G213" s="15">
        <f>IF(D213=0,"",(B213-C213)/D213)</f>
        <v/>
      </c>
      <c r="H213" s="13">
        <f>MEDIAN(B184:B213)</f>
        <v/>
      </c>
      <c r="I213" s="13">
        <f>MEDIAN(ABS(B184:B213-H213))</f>
        <v/>
      </c>
      <c r="J213" s="15">
        <f>IF(I213=0,"",0.6745*(B213-H213)/I213)</f>
        <v/>
      </c>
      <c r="K213" s="13">
        <f>0.2*B213+0.8*K212</f>
        <v/>
      </c>
      <c r="L213" s="13">
        <f>C213+3*D213*SQRT(0.2/(2-0.2))</f>
        <v/>
      </c>
      <c r="M213" s="13">
        <f>C213-3*D213*SQRT(0.2/(2-0.2))</f>
        <v/>
      </c>
      <c r="N213" s="13">
        <f>MAX(0,N212+(B213-C213-0.5*D213))</f>
        <v/>
      </c>
      <c r="O213" s="13">
        <f>MIN(0,O212+(B213-C213+0.5*D213))</f>
        <v/>
      </c>
      <c r="P213">
        <f>IF(ABS(G213)&gt;1,P212+1,0)</f>
        <v/>
      </c>
      <c r="Q213">
        <f>IFS(OR(ABS(G213)&gt;3,N213&gt;5*D213,ABS(O213)&gt;5*D213,P213&gt;=5),"CRITICAL",OR(ABS(G213)&gt;2,P213&gt;=3,ABS(J213)&gt;3.5),"EARLY WARNING",ABS(G213)&gt;1,"WATCH",TRUE,"NORMAL")</f>
        <v/>
      </c>
    </row>
    <row r="214">
      <c r="A214" s="12" t="n">
        <v>45239</v>
      </c>
      <c r="B214" s="13">
        <f>Raw_Data!B214</f>
        <v/>
      </c>
      <c r="C214" s="13">
        <f>AVERAGE(B185:B214)</f>
        <v/>
      </c>
      <c r="D214" s="13">
        <f>STDEV.S(B185:B214)</f>
        <v/>
      </c>
      <c r="E214" s="13">
        <f>C214+3*D214</f>
        <v/>
      </c>
      <c r="F214" s="13">
        <f>C214-3*D214</f>
        <v/>
      </c>
      <c r="G214" s="15">
        <f>IF(D214=0,"",(B214-C214)/D214)</f>
        <v/>
      </c>
      <c r="H214" s="13">
        <f>MEDIAN(B185:B214)</f>
        <v/>
      </c>
      <c r="I214" s="13">
        <f>MEDIAN(ABS(B185:B214-H214))</f>
        <v/>
      </c>
      <c r="J214" s="15">
        <f>IF(I214=0,"",0.6745*(B214-H214)/I214)</f>
        <v/>
      </c>
      <c r="K214" s="13">
        <f>0.2*B214+0.8*K213</f>
        <v/>
      </c>
      <c r="L214" s="13">
        <f>C214+3*D214*SQRT(0.2/(2-0.2))</f>
        <v/>
      </c>
      <c r="M214" s="13">
        <f>C214-3*D214*SQRT(0.2/(2-0.2))</f>
        <v/>
      </c>
      <c r="N214" s="13">
        <f>MAX(0,N213+(B214-C214-0.5*D214))</f>
        <v/>
      </c>
      <c r="O214" s="13">
        <f>MIN(0,O213+(B214-C214+0.5*D214))</f>
        <v/>
      </c>
      <c r="P214">
        <f>IF(ABS(G214)&gt;1,P213+1,0)</f>
        <v/>
      </c>
      <c r="Q214">
        <f>IFS(OR(ABS(G214)&gt;3,N214&gt;5*D214,ABS(O214)&gt;5*D214,P214&gt;=5),"CRITICAL",OR(ABS(G214)&gt;2,P214&gt;=3,ABS(J214)&gt;3.5),"EARLY WARNING",ABS(G214)&gt;1,"WATCH",TRUE,"NORMAL")</f>
        <v/>
      </c>
    </row>
    <row r="215">
      <c r="A215" s="12" t="n">
        <v>45240</v>
      </c>
      <c r="B215" s="13">
        <f>Raw_Data!B215</f>
        <v/>
      </c>
      <c r="C215" s="13">
        <f>AVERAGE(B186:B215)</f>
        <v/>
      </c>
      <c r="D215" s="13">
        <f>STDEV.S(B186:B215)</f>
        <v/>
      </c>
      <c r="E215" s="13">
        <f>C215+3*D215</f>
        <v/>
      </c>
      <c r="F215" s="13">
        <f>C215-3*D215</f>
        <v/>
      </c>
      <c r="G215" s="15">
        <f>IF(D215=0,"",(B215-C215)/D215)</f>
        <v/>
      </c>
      <c r="H215" s="13">
        <f>MEDIAN(B186:B215)</f>
        <v/>
      </c>
      <c r="I215" s="13">
        <f>MEDIAN(ABS(B186:B215-H215))</f>
        <v/>
      </c>
      <c r="J215" s="15">
        <f>IF(I215=0,"",0.6745*(B215-H215)/I215)</f>
        <v/>
      </c>
      <c r="K215" s="13">
        <f>0.2*B215+0.8*K214</f>
        <v/>
      </c>
      <c r="L215" s="13">
        <f>C215+3*D215*SQRT(0.2/(2-0.2))</f>
        <v/>
      </c>
      <c r="M215" s="13">
        <f>C215-3*D215*SQRT(0.2/(2-0.2))</f>
        <v/>
      </c>
      <c r="N215" s="13">
        <f>MAX(0,N214+(B215-C215-0.5*D215))</f>
        <v/>
      </c>
      <c r="O215" s="13">
        <f>MIN(0,O214+(B215-C215+0.5*D215))</f>
        <v/>
      </c>
      <c r="P215">
        <f>IF(ABS(G215)&gt;1,P214+1,0)</f>
        <v/>
      </c>
      <c r="Q215">
        <f>IFS(OR(ABS(G215)&gt;3,N215&gt;5*D215,ABS(O215)&gt;5*D215,P215&gt;=5),"CRITICAL",OR(ABS(G215)&gt;2,P215&gt;=3,ABS(J215)&gt;3.5),"EARLY WARNING",ABS(G215)&gt;1,"WATCH",TRUE,"NORMAL")</f>
        <v/>
      </c>
    </row>
    <row r="216">
      <c r="A216" s="12" t="n">
        <v>45241</v>
      </c>
      <c r="B216" s="13">
        <f>Raw_Data!B216</f>
        <v/>
      </c>
      <c r="C216" s="13">
        <f>AVERAGE(B187:B216)</f>
        <v/>
      </c>
      <c r="D216" s="13">
        <f>STDEV.S(B187:B216)</f>
        <v/>
      </c>
      <c r="E216" s="13">
        <f>C216+3*D216</f>
        <v/>
      </c>
      <c r="F216" s="13">
        <f>C216-3*D216</f>
        <v/>
      </c>
      <c r="G216" s="15">
        <f>IF(D216=0,"",(B216-C216)/D216)</f>
        <v/>
      </c>
      <c r="H216" s="13">
        <f>MEDIAN(B187:B216)</f>
        <v/>
      </c>
      <c r="I216" s="13">
        <f>MEDIAN(ABS(B187:B216-H216))</f>
        <v/>
      </c>
      <c r="J216" s="15">
        <f>IF(I216=0,"",0.6745*(B216-H216)/I216)</f>
        <v/>
      </c>
      <c r="K216" s="13">
        <f>0.2*B216+0.8*K215</f>
        <v/>
      </c>
      <c r="L216" s="13">
        <f>C216+3*D216*SQRT(0.2/(2-0.2))</f>
        <v/>
      </c>
      <c r="M216" s="13">
        <f>C216-3*D216*SQRT(0.2/(2-0.2))</f>
        <v/>
      </c>
      <c r="N216" s="13">
        <f>MAX(0,N215+(B216-C216-0.5*D216))</f>
        <v/>
      </c>
      <c r="O216" s="13">
        <f>MIN(0,O215+(B216-C216+0.5*D216))</f>
        <v/>
      </c>
      <c r="P216">
        <f>IF(ABS(G216)&gt;1,P215+1,0)</f>
        <v/>
      </c>
      <c r="Q216">
        <f>IFS(OR(ABS(G216)&gt;3,N216&gt;5*D216,ABS(O216)&gt;5*D216,P216&gt;=5),"CRITICAL",OR(ABS(G216)&gt;2,P216&gt;=3,ABS(J216)&gt;3.5),"EARLY WARNING",ABS(G216)&gt;1,"WATCH",TRUE,"NORMAL")</f>
        <v/>
      </c>
    </row>
    <row r="217">
      <c r="A217" s="12" t="n">
        <v>45242</v>
      </c>
      <c r="B217" s="13">
        <f>Raw_Data!B217</f>
        <v/>
      </c>
      <c r="C217" s="13">
        <f>AVERAGE(B188:B217)</f>
        <v/>
      </c>
      <c r="D217" s="13">
        <f>STDEV.S(B188:B217)</f>
        <v/>
      </c>
      <c r="E217" s="13">
        <f>C217+3*D217</f>
        <v/>
      </c>
      <c r="F217" s="13">
        <f>C217-3*D217</f>
        <v/>
      </c>
      <c r="G217" s="15">
        <f>IF(D217=0,"",(B217-C217)/D217)</f>
        <v/>
      </c>
      <c r="H217" s="13">
        <f>MEDIAN(B188:B217)</f>
        <v/>
      </c>
      <c r="I217" s="13">
        <f>MEDIAN(ABS(B188:B217-H217))</f>
        <v/>
      </c>
      <c r="J217" s="15">
        <f>IF(I217=0,"",0.6745*(B217-H217)/I217)</f>
        <v/>
      </c>
      <c r="K217" s="13">
        <f>0.2*B217+0.8*K216</f>
        <v/>
      </c>
      <c r="L217" s="13">
        <f>C217+3*D217*SQRT(0.2/(2-0.2))</f>
        <v/>
      </c>
      <c r="M217" s="13">
        <f>C217-3*D217*SQRT(0.2/(2-0.2))</f>
        <v/>
      </c>
      <c r="N217" s="13">
        <f>MAX(0,N216+(B217-C217-0.5*D217))</f>
        <v/>
      </c>
      <c r="O217" s="13">
        <f>MIN(0,O216+(B217-C217+0.5*D217))</f>
        <v/>
      </c>
      <c r="P217">
        <f>IF(ABS(G217)&gt;1,P216+1,0)</f>
        <v/>
      </c>
      <c r="Q217">
        <f>IFS(OR(ABS(G217)&gt;3,N217&gt;5*D217,ABS(O217)&gt;5*D217,P217&gt;=5),"CRITICAL",OR(ABS(G217)&gt;2,P217&gt;=3,ABS(J217)&gt;3.5),"EARLY WARNING",ABS(G217)&gt;1,"WATCH",TRUE,"NORMAL")</f>
        <v/>
      </c>
    </row>
    <row r="218">
      <c r="A218" s="12" t="n">
        <v>45243</v>
      </c>
      <c r="B218" s="13">
        <f>Raw_Data!B218</f>
        <v/>
      </c>
      <c r="C218" s="13">
        <f>AVERAGE(B189:B218)</f>
        <v/>
      </c>
      <c r="D218" s="13">
        <f>STDEV.S(B189:B218)</f>
        <v/>
      </c>
      <c r="E218" s="13">
        <f>C218+3*D218</f>
        <v/>
      </c>
      <c r="F218" s="13">
        <f>C218-3*D218</f>
        <v/>
      </c>
      <c r="G218" s="15">
        <f>IF(D218=0,"",(B218-C218)/D218)</f>
        <v/>
      </c>
      <c r="H218" s="13">
        <f>MEDIAN(B189:B218)</f>
        <v/>
      </c>
      <c r="I218" s="13">
        <f>MEDIAN(ABS(B189:B218-H218))</f>
        <v/>
      </c>
      <c r="J218" s="15">
        <f>IF(I218=0,"",0.6745*(B218-H218)/I218)</f>
        <v/>
      </c>
      <c r="K218" s="13">
        <f>0.2*B218+0.8*K217</f>
        <v/>
      </c>
      <c r="L218" s="13">
        <f>C218+3*D218*SQRT(0.2/(2-0.2))</f>
        <v/>
      </c>
      <c r="M218" s="13">
        <f>C218-3*D218*SQRT(0.2/(2-0.2))</f>
        <v/>
      </c>
      <c r="N218" s="13">
        <f>MAX(0,N217+(B218-C218-0.5*D218))</f>
        <v/>
      </c>
      <c r="O218" s="13">
        <f>MIN(0,O217+(B218-C218+0.5*D218))</f>
        <v/>
      </c>
      <c r="P218">
        <f>IF(ABS(G218)&gt;1,P217+1,0)</f>
        <v/>
      </c>
      <c r="Q218">
        <f>IFS(OR(ABS(G218)&gt;3,N218&gt;5*D218,ABS(O218)&gt;5*D218,P218&gt;=5),"CRITICAL",OR(ABS(G218)&gt;2,P218&gt;=3,ABS(J218)&gt;3.5),"EARLY WARNING",ABS(G218)&gt;1,"WATCH",TRUE,"NORMAL")</f>
        <v/>
      </c>
    </row>
    <row r="219">
      <c r="A219" s="12" t="n">
        <v>45244</v>
      </c>
      <c r="B219" s="13">
        <f>Raw_Data!B219</f>
        <v/>
      </c>
      <c r="C219" s="13">
        <f>AVERAGE(B190:B219)</f>
        <v/>
      </c>
      <c r="D219" s="13">
        <f>STDEV.S(B190:B219)</f>
        <v/>
      </c>
      <c r="E219" s="13">
        <f>C219+3*D219</f>
        <v/>
      </c>
      <c r="F219" s="13">
        <f>C219-3*D219</f>
        <v/>
      </c>
      <c r="G219" s="15">
        <f>IF(D219=0,"",(B219-C219)/D219)</f>
        <v/>
      </c>
      <c r="H219" s="13">
        <f>MEDIAN(B190:B219)</f>
        <v/>
      </c>
      <c r="I219" s="13">
        <f>MEDIAN(ABS(B190:B219-H219))</f>
        <v/>
      </c>
      <c r="J219" s="15">
        <f>IF(I219=0,"",0.6745*(B219-H219)/I219)</f>
        <v/>
      </c>
      <c r="K219" s="13">
        <f>0.2*B219+0.8*K218</f>
        <v/>
      </c>
      <c r="L219" s="13">
        <f>C219+3*D219*SQRT(0.2/(2-0.2))</f>
        <v/>
      </c>
      <c r="M219" s="13">
        <f>C219-3*D219*SQRT(0.2/(2-0.2))</f>
        <v/>
      </c>
      <c r="N219" s="13">
        <f>MAX(0,N218+(B219-C219-0.5*D219))</f>
        <v/>
      </c>
      <c r="O219" s="13">
        <f>MIN(0,O218+(B219-C219+0.5*D219))</f>
        <v/>
      </c>
      <c r="P219">
        <f>IF(ABS(G219)&gt;1,P218+1,0)</f>
        <v/>
      </c>
      <c r="Q219">
        <f>IFS(OR(ABS(G219)&gt;3,N219&gt;5*D219,ABS(O219)&gt;5*D219,P219&gt;=5),"CRITICAL",OR(ABS(G219)&gt;2,P219&gt;=3,ABS(J219)&gt;3.5),"EARLY WARNING",ABS(G219)&gt;1,"WATCH",TRUE,"NORMAL")</f>
        <v/>
      </c>
    </row>
    <row r="220">
      <c r="A220" s="12" t="n">
        <v>45245</v>
      </c>
      <c r="B220" s="13">
        <f>Raw_Data!B220</f>
        <v/>
      </c>
      <c r="C220" s="13">
        <f>AVERAGE(B191:B220)</f>
        <v/>
      </c>
      <c r="D220" s="13">
        <f>STDEV.S(B191:B220)</f>
        <v/>
      </c>
      <c r="E220" s="13">
        <f>C220+3*D220</f>
        <v/>
      </c>
      <c r="F220" s="13">
        <f>C220-3*D220</f>
        <v/>
      </c>
      <c r="G220" s="15">
        <f>IF(D220=0,"",(B220-C220)/D220)</f>
        <v/>
      </c>
      <c r="H220" s="13">
        <f>MEDIAN(B191:B220)</f>
        <v/>
      </c>
      <c r="I220" s="13">
        <f>MEDIAN(ABS(B191:B220-H220))</f>
        <v/>
      </c>
      <c r="J220" s="15">
        <f>IF(I220=0,"",0.6745*(B220-H220)/I220)</f>
        <v/>
      </c>
      <c r="K220" s="13">
        <f>0.2*B220+0.8*K219</f>
        <v/>
      </c>
      <c r="L220" s="13">
        <f>C220+3*D220*SQRT(0.2/(2-0.2))</f>
        <v/>
      </c>
      <c r="M220" s="13">
        <f>C220-3*D220*SQRT(0.2/(2-0.2))</f>
        <v/>
      </c>
      <c r="N220" s="13">
        <f>MAX(0,N219+(B220-C220-0.5*D220))</f>
        <v/>
      </c>
      <c r="O220" s="13">
        <f>MIN(0,O219+(B220-C220+0.5*D220))</f>
        <v/>
      </c>
      <c r="P220">
        <f>IF(ABS(G220)&gt;1,P219+1,0)</f>
        <v/>
      </c>
      <c r="Q220">
        <f>IFS(OR(ABS(G220)&gt;3,N220&gt;5*D220,ABS(O220)&gt;5*D220,P220&gt;=5),"CRITICAL",OR(ABS(G220)&gt;2,P220&gt;=3,ABS(J220)&gt;3.5),"EARLY WARNING",ABS(G220)&gt;1,"WATCH",TRUE,"NORMAL")</f>
        <v/>
      </c>
    </row>
    <row r="221">
      <c r="A221" s="12" t="n">
        <v>45246</v>
      </c>
      <c r="B221" s="13">
        <f>Raw_Data!B221</f>
        <v/>
      </c>
      <c r="C221" s="13">
        <f>AVERAGE(B192:B221)</f>
        <v/>
      </c>
      <c r="D221" s="13">
        <f>STDEV.S(B192:B221)</f>
        <v/>
      </c>
      <c r="E221" s="13">
        <f>C221+3*D221</f>
        <v/>
      </c>
      <c r="F221" s="13">
        <f>C221-3*D221</f>
        <v/>
      </c>
      <c r="G221" s="15">
        <f>IF(D221=0,"",(B221-C221)/D221)</f>
        <v/>
      </c>
      <c r="H221" s="13">
        <f>MEDIAN(B192:B221)</f>
        <v/>
      </c>
      <c r="I221" s="13">
        <f>MEDIAN(ABS(B192:B221-H221))</f>
        <v/>
      </c>
      <c r="J221" s="15">
        <f>IF(I221=0,"",0.6745*(B221-H221)/I221)</f>
        <v/>
      </c>
      <c r="K221" s="13">
        <f>0.2*B221+0.8*K220</f>
        <v/>
      </c>
      <c r="L221" s="13">
        <f>C221+3*D221*SQRT(0.2/(2-0.2))</f>
        <v/>
      </c>
      <c r="M221" s="13">
        <f>C221-3*D221*SQRT(0.2/(2-0.2))</f>
        <v/>
      </c>
      <c r="N221" s="13">
        <f>MAX(0,N220+(B221-C221-0.5*D221))</f>
        <v/>
      </c>
      <c r="O221" s="13">
        <f>MIN(0,O220+(B221-C221+0.5*D221))</f>
        <v/>
      </c>
      <c r="P221">
        <f>IF(ABS(G221)&gt;1,P220+1,0)</f>
        <v/>
      </c>
      <c r="Q221">
        <f>IFS(OR(ABS(G221)&gt;3,N221&gt;5*D221,ABS(O221)&gt;5*D221,P221&gt;=5),"CRITICAL",OR(ABS(G221)&gt;2,P221&gt;=3,ABS(J221)&gt;3.5),"EARLY WARNING",ABS(G221)&gt;1,"WATCH",TRUE,"NORMAL")</f>
        <v/>
      </c>
    </row>
    <row r="222">
      <c r="A222" s="12" t="n">
        <v>45247</v>
      </c>
      <c r="B222" s="13">
        <f>Raw_Data!B222</f>
        <v/>
      </c>
      <c r="C222" s="13">
        <f>AVERAGE(B193:B222)</f>
        <v/>
      </c>
      <c r="D222" s="13">
        <f>STDEV.S(B193:B222)</f>
        <v/>
      </c>
      <c r="E222" s="13">
        <f>C222+3*D222</f>
        <v/>
      </c>
      <c r="F222" s="13">
        <f>C222-3*D222</f>
        <v/>
      </c>
      <c r="G222" s="15">
        <f>IF(D222=0,"",(B222-C222)/D222)</f>
        <v/>
      </c>
      <c r="H222" s="13">
        <f>MEDIAN(B193:B222)</f>
        <v/>
      </c>
      <c r="I222" s="13">
        <f>MEDIAN(ABS(B193:B222-H222))</f>
        <v/>
      </c>
      <c r="J222" s="15">
        <f>IF(I222=0,"",0.6745*(B222-H222)/I222)</f>
        <v/>
      </c>
      <c r="K222" s="13">
        <f>0.2*B222+0.8*K221</f>
        <v/>
      </c>
      <c r="L222" s="13">
        <f>C222+3*D222*SQRT(0.2/(2-0.2))</f>
        <v/>
      </c>
      <c r="M222" s="13">
        <f>C222-3*D222*SQRT(0.2/(2-0.2))</f>
        <v/>
      </c>
      <c r="N222" s="13">
        <f>MAX(0,N221+(B222-C222-0.5*D222))</f>
        <v/>
      </c>
      <c r="O222" s="13">
        <f>MIN(0,O221+(B222-C222+0.5*D222))</f>
        <v/>
      </c>
      <c r="P222">
        <f>IF(ABS(G222)&gt;1,P221+1,0)</f>
        <v/>
      </c>
      <c r="Q222">
        <f>IFS(OR(ABS(G222)&gt;3,N222&gt;5*D222,ABS(O222)&gt;5*D222,P222&gt;=5),"CRITICAL",OR(ABS(G222)&gt;2,P222&gt;=3,ABS(J222)&gt;3.5),"EARLY WARNING",ABS(G222)&gt;1,"WATCH",TRUE,"NORMAL")</f>
        <v/>
      </c>
    </row>
    <row r="223">
      <c r="A223" s="12" t="n">
        <v>45248</v>
      </c>
      <c r="B223" s="13">
        <f>Raw_Data!B223</f>
        <v/>
      </c>
      <c r="C223" s="13">
        <f>AVERAGE(B194:B223)</f>
        <v/>
      </c>
      <c r="D223" s="13">
        <f>STDEV.S(B194:B223)</f>
        <v/>
      </c>
      <c r="E223" s="13">
        <f>C223+3*D223</f>
        <v/>
      </c>
      <c r="F223" s="13">
        <f>C223-3*D223</f>
        <v/>
      </c>
      <c r="G223" s="15">
        <f>IF(D223=0,"",(B223-C223)/D223)</f>
        <v/>
      </c>
      <c r="H223" s="13">
        <f>MEDIAN(B194:B223)</f>
        <v/>
      </c>
      <c r="I223" s="13">
        <f>MEDIAN(ABS(B194:B223-H223))</f>
        <v/>
      </c>
      <c r="J223" s="15">
        <f>IF(I223=0,"",0.6745*(B223-H223)/I223)</f>
        <v/>
      </c>
      <c r="K223" s="13">
        <f>0.2*B223+0.8*K222</f>
        <v/>
      </c>
      <c r="L223" s="13">
        <f>C223+3*D223*SQRT(0.2/(2-0.2))</f>
        <v/>
      </c>
      <c r="M223" s="13">
        <f>C223-3*D223*SQRT(0.2/(2-0.2))</f>
        <v/>
      </c>
      <c r="N223" s="13">
        <f>MAX(0,N222+(B223-C223-0.5*D223))</f>
        <v/>
      </c>
      <c r="O223" s="13">
        <f>MIN(0,O222+(B223-C223+0.5*D223))</f>
        <v/>
      </c>
      <c r="P223">
        <f>IF(ABS(G223)&gt;1,P222+1,0)</f>
        <v/>
      </c>
      <c r="Q223">
        <f>IFS(OR(ABS(G223)&gt;3,N223&gt;5*D223,ABS(O223)&gt;5*D223,P223&gt;=5),"CRITICAL",OR(ABS(G223)&gt;2,P223&gt;=3,ABS(J223)&gt;3.5),"EARLY WARNING",ABS(G223)&gt;1,"WATCH",TRUE,"NORMAL")</f>
        <v/>
      </c>
    </row>
    <row r="224">
      <c r="A224" s="12" t="n">
        <v>45249</v>
      </c>
      <c r="B224" s="13">
        <f>Raw_Data!B224</f>
        <v/>
      </c>
      <c r="C224" s="13">
        <f>AVERAGE(B195:B224)</f>
        <v/>
      </c>
      <c r="D224" s="13">
        <f>STDEV.S(B195:B224)</f>
        <v/>
      </c>
      <c r="E224" s="13">
        <f>C224+3*D224</f>
        <v/>
      </c>
      <c r="F224" s="13">
        <f>C224-3*D224</f>
        <v/>
      </c>
      <c r="G224" s="15">
        <f>IF(D224=0,"",(B224-C224)/D224)</f>
        <v/>
      </c>
      <c r="H224" s="13">
        <f>MEDIAN(B195:B224)</f>
        <v/>
      </c>
      <c r="I224" s="13">
        <f>MEDIAN(ABS(B195:B224-H224))</f>
        <v/>
      </c>
      <c r="J224" s="15">
        <f>IF(I224=0,"",0.6745*(B224-H224)/I224)</f>
        <v/>
      </c>
      <c r="K224" s="13">
        <f>0.2*B224+0.8*K223</f>
        <v/>
      </c>
      <c r="L224" s="13">
        <f>C224+3*D224*SQRT(0.2/(2-0.2))</f>
        <v/>
      </c>
      <c r="M224" s="13">
        <f>C224-3*D224*SQRT(0.2/(2-0.2))</f>
        <v/>
      </c>
      <c r="N224" s="13">
        <f>MAX(0,N223+(B224-C224-0.5*D224))</f>
        <v/>
      </c>
      <c r="O224" s="13">
        <f>MIN(0,O223+(B224-C224+0.5*D224))</f>
        <v/>
      </c>
      <c r="P224">
        <f>IF(ABS(G224)&gt;1,P223+1,0)</f>
        <v/>
      </c>
      <c r="Q224">
        <f>IFS(OR(ABS(G224)&gt;3,N224&gt;5*D224,ABS(O224)&gt;5*D224,P224&gt;=5),"CRITICAL",OR(ABS(G224)&gt;2,P224&gt;=3,ABS(J224)&gt;3.5),"EARLY WARNING",ABS(G224)&gt;1,"WATCH",TRUE,"NORMAL")</f>
        <v/>
      </c>
    </row>
    <row r="225">
      <c r="A225" s="12" t="n">
        <v>45250</v>
      </c>
      <c r="B225" s="13">
        <f>Raw_Data!B225</f>
        <v/>
      </c>
      <c r="C225" s="13">
        <f>AVERAGE(B196:B225)</f>
        <v/>
      </c>
      <c r="D225" s="13">
        <f>STDEV.S(B196:B225)</f>
        <v/>
      </c>
      <c r="E225" s="13">
        <f>C225+3*D225</f>
        <v/>
      </c>
      <c r="F225" s="13">
        <f>C225-3*D225</f>
        <v/>
      </c>
      <c r="G225" s="15">
        <f>IF(D225=0,"",(B225-C225)/D225)</f>
        <v/>
      </c>
      <c r="H225" s="13">
        <f>MEDIAN(B196:B225)</f>
        <v/>
      </c>
      <c r="I225" s="13">
        <f>MEDIAN(ABS(B196:B225-H225))</f>
        <v/>
      </c>
      <c r="J225" s="15">
        <f>IF(I225=0,"",0.6745*(B225-H225)/I225)</f>
        <v/>
      </c>
      <c r="K225" s="13">
        <f>0.2*B225+0.8*K224</f>
        <v/>
      </c>
      <c r="L225" s="13">
        <f>C225+3*D225*SQRT(0.2/(2-0.2))</f>
        <v/>
      </c>
      <c r="M225" s="13">
        <f>C225-3*D225*SQRT(0.2/(2-0.2))</f>
        <v/>
      </c>
      <c r="N225" s="13">
        <f>MAX(0,N224+(B225-C225-0.5*D225))</f>
        <v/>
      </c>
      <c r="O225" s="13">
        <f>MIN(0,O224+(B225-C225+0.5*D225))</f>
        <v/>
      </c>
      <c r="P225">
        <f>IF(ABS(G225)&gt;1,P224+1,0)</f>
        <v/>
      </c>
      <c r="Q225">
        <f>IFS(OR(ABS(G225)&gt;3,N225&gt;5*D225,ABS(O225)&gt;5*D225,P225&gt;=5),"CRITICAL",OR(ABS(G225)&gt;2,P225&gt;=3,ABS(J225)&gt;3.5),"EARLY WARNING",ABS(G225)&gt;1,"WATCH",TRUE,"NORMAL")</f>
        <v/>
      </c>
    </row>
    <row r="226">
      <c r="A226" s="12" t="n">
        <v>45251</v>
      </c>
      <c r="B226" s="13">
        <f>Raw_Data!B226</f>
        <v/>
      </c>
      <c r="C226" s="13">
        <f>AVERAGE(B197:B226)</f>
        <v/>
      </c>
      <c r="D226" s="13">
        <f>STDEV.S(B197:B226)</f>
        <v/>
      </c>
      <c r="E226" s="13">
        <f>C226+3*D226</f>
        <v/>
      </c>
      <c r="F226" s="13">
        <f>C226-3*D226</f>
        <v/>
      </c>
      <c r="G226" s="15">
        <f>IF(D226=0,"",(B226-C226)/D226)</f>
        <v/>
      </c>
      <c r="H226" s="13">
        <f>MEDIAN(B197:B226)</f>
        <v/>
      </c>
      <c r="I226" s="13">
        <f>MEDIAN(ABS(B197:B226-H226))</f>
        <v/>
      </c>
      <c r="J226" s="15">
        <f>IF(I226=0,"",0.6745*(B226-H226)/I226)</f>
        <v/>
      </c>
      <c r="K226" s="13">
        <f>0.2*B226+0.8*K225</f>
        <v/>
      </c>
      <c r="L226" s="13">
        <f>C226+3*D226*SQRT(0.2/(2-0.2))</f>
        <v/>
      </c>
      <c r="M226" s="13">
        <f>C226-3*D226*SQRT(0.2/(2-0.2))</f>
        <v/>
      </c>
      <c r="N226" s="13">
        <f>MAX(0,N225+(B226-C226-0.5*D226))</f>
        <v/>
      </c>
      <c r="O226" s="13">
        <f>MIN(0,O225+(B226-C226+0.5*D226))</f>
        <v/>
      </c>
      <c r="P226">
        <f>IF(ABS(G226)&gt;1,P225+1,0)</f>
        <v/>
      </c>
      <c r="Q226">
        <f>IFS(OR(ABS(G226)&gt;3,N226&gt;5*D226,ABS(O226)&gt;5*D226,P226&gt;=5),"CRITICAL",OR(ABS(G226)&gt;2,P226&gt;=3,ABS(J226)&gt;3.5),"EARLY WARNING",ABS(G226)&gt;1,"WATCH",TRUE,"NORMAL")</f>
        <v/>
      </c>
    </row>
    <row r="227">
      <c r="A227" s="12" t="n">
        <v>45252</v>
      </c>
      <c r="B227" s="13">
        <f>Raw_Data!B227</f>
        <v/>
      </c>
      <c r="C227" s="13">
        <f>AVERAGE(B198:B227)</f>
        <v/>
      </c>
      <c r="D227" s="13">
        <f>STDEV.S(B198:B227)</f>
        <v/>
      </c>
      <c r="E227" s="13">
        <f>C227+3*D227</f>
        <v/>
      </c>
      <c r="F227" s="13">
        <f>C227-3*D227</f>
        <v/>
      </c>
      <c r="G227" s="15">
        <f>IF(D227=0,"",(B227-C227)/D227)</f>
        <v/>
      </c>
      <c r="H227" s="13">
        <f>MEDIAN(B198:B227)</f>
        <v/>
      </c>
      <c r="I227" s="13">
        <f>MEDIAN(ABS(B198:B227-H227))</f>
        <v/>
      </c>
      <c r="J227" s="15">
        <f>IF(I227=0,"",0.6745*(B227-H227)/I227)</f>
        <v/>
      </c>
      <c r="K227" s="13">
        <f>0.2*B227+0.8*K226</f>
        <v/>
      </c>
      <c r="L227" s="13">
        <f>C227+3*D227*SQRT(0.2/(2-0.2))</f>
        <v/>
      </c>
      <c r="M227" s="13">
        <f>C227-3*D227*SQRT(0.2/(2-0.2))</f>
        <v/>
      </c>
      <c r="N227" s="13">
        <f>MAX(0,N226+(B227-C227-0.5*D227))</f>
        <v/>
      </c>
      <c r="O227" s="13">
        <f>MIN(0,O226+(B227-C227+0.5*D227))</f>
        <v/>
      </c>
      <c r="P227">
        <f>IF(ABS(G227)&gt;1,P226+1,0)</f>
        <v/>
      </c>
      <c r="Q227">
        <f>IFS(OR(ABS(G227)&gt;3,N227&gt;5*D227,ABS(O227)&gt;5*D227,P227&gt;=5),"CRITICAL",OR(ABS(G227)&gt;2,P227&gt;=3,ABS(J227)&gt;3.5),"EARLY WARNING",ABS(G227)&gt;1,"WATCH",TRUE,"NORMAL")</f>
        <v/>
      </c>
    </row>
    <row r="228">
      <c r="A228" s="12" t="n">
        <v>45253</v>
      </c>
      <c r="B228" s="13">
        <f>Raw_Data!B228</f>
        <v/>
      </c>
      <c r="C228" s="13">
        <f>AVERAGE(B199:B228)</f>
        <v/>
      </c>
      <c r="D228" s="13">
        <f>STDEV.S(B199:B228)</f>
        <v/>
      </c>
      <c r="E228" s="13">
        <f>C228+3*D228</f>
        <v/>
      </c>
      <c r="F228" s="13">
        <f>C228-3*D228</f>
        <v/>
      </c>
      <c r="G228" s="15">
        <f>IF(D228=0,"",(B228-C228)/D228)</f>
        <v/>
      </c>
      <c r="H228" s="13">
        <f>MEDIAN(B199:B228)</f>
        <v/>
      </c>
      <c r="I228" s="13">
        <f>MEDIAN(ABS(B199:B228-H228))</f>
        <v/>
      </c>
      <c r="J228" s="15">
        <f>IF(I228=0,"",0.6745*(B228-H228)/I228)</f>
        <v/>
      </c>
      <c r="K228" s="13">
        <f>0.2*B228+0.8*K227</f>
        <v/>
      </c>
      <c r="L228" s="13">
        <f>C228+3*D228*SQRT(0.2/(2-0.2))</f>
        <v/>
      </c>
      <c r="M228" s="13">
        <f>C228-3*D228*SQRT(0.2/(2-0.2))</f>
        <v/>
      </c>
      <c r="N228" s="13">
        <f>MAX(0,N227+(B228-C228-0.5*D228))</f>
        <v/>
      </c>
      <c r="O228" s="13">
        <f>MIN(0,O227+(B228-C228+0.5*D228))</f>
        <v/>
      </c>
      <c r="P228">
        <f>IF(ABS(G228)&gt;1,P227+1,0)</f>
        <v/>
      </c>
      <c r="Q228">
        <f>IFS(OR(ABS(G228)&gt;3,N228&gt;5*D228,ABS(O228)&gt;5*D228,P228&gt;=5),"CRITICAL",OR(ABS(G228)&gt;2,P228&gt;=3,ABS(J228)&gt;3.5),"EARLY WARNING",ABS(G228)&gt;1,"WATCH",TRUE,"NORMAL")</f>
        <v/>
      </c>
    </row>
    <row r="229">
      <c r="A229" s="12" t="n">
        <v>45254</v>
      </c>
      <c r="B229" s="13">
        <f>Raw_Data!B229</f>
        <v/>
      </c>
      <c r="C229" s="13">
        <f>AVERAGE(B200:B229)</f>
        <v/>
      </c>
      <c r="D229" s="13">
        <f>STDEV.S(B200:B229)</f>
        <v/>
      </c>
      <c r="E229" s="13">
        <f>C229+3*D229</f>
        <v/>
      </c>
      <c r="F229" s="13">
        <f>C229-3*D229</f>
        <v/>
      </c>
      <c r="G229" s="15">
        <f>IF(D229=0,"",(B229-C229)/D229)</f>
        <v/>
      </c>
      <c r="H229" s="13">
        <f>MEDIAN(B200:B229)</f>
        <v/>
      </c>
      <c r="I229" s="13">
        <f>MEDIAN(ABS(B200:B229-H229))</f>
        <v/>
      </c>
      <c r="J229" s="15">
        <f>IF(I229=0,"",0.6745*(B229-H229)/I229)</f>
        <v/>
      </c>
      <c r="K229" s="13">
        <f>0.2*B229+0.8*K228</f>
        <v/>
      </c>
      <c r="L229" s="13">
        <f>C229+3*D229*SQRT(0.2/(2-0.2))</f>
        <v/>
      </c>
      <c r="M229" s="13">
        <f>C229-3*D229*SQRT(0.2/(2-0.2))</f>
        <v/>
      </c>
      <c r="N229" s="13">
        <f>MAX(0,N228+(B229-C229-0.5*D229))</f>
        <v/>
      </c>
      <c r="O229" s="13">
        <f>MIN(0,O228+(B229-C229+0.5*D229))</f>
        <v/>
      </c>
      <c r="P229">
        <f>IF(ABS(G229)&gt;1,P228+1,0)</f>
        <v/>
      </c>
      <c r="Q229">
        <f>IFS(OR(ABS(G229)&gt;3,N229&gt;5*D229,ABS(O229)&gt;5*D229,P229&gt;=5),"CRITICAL",OR(ABS(G229)&gt;2,P229&gt;=3,ABS(J229)&gt;3.5),"EARLY WARNING",ABS(G229)&gt;1,"WATCH",TRUE,"NORMAL")</f>
        <v/>
      </c>
    </row>
    <row r="230">
      <c r="A230" s="12" t="n">
        <v>45255</v>
      </c>
      <c r="B230" s="13">
        <f>Raw_Data!B230</f>
        <v/>
      </c>
      <c r="C230" s="13">
        <f>AVERAGE(B201:B230)</f>
        <v/>
      </c>
      <c r="D230" s="13">
        <f>STDEV.S(B201:B230)</f>
        <v/>
      </c>
      <c r="E230" s="13">
        <f>C230+3*D230</f>
        <v/>
      </c>
      <c r="F230" s="13">
        <f>C230-3*D230</f>
        <v/>
      </c>
      <c r="G230" s="15">
        <f>IF(D230=0,"",(B230-C230)/D230)</f>
        <v/>
      </c>
      <c r="H230" s="13">
        <f>MEDIAN(B201:B230)</f>
        <v/>
      </c>
      <c r="I230" s="13">
        <f>MEDIAN(ABS(B201:B230-H230))</f>
        <v/>
      </c>
      <c r="J230" s="15">
        <f>IF(I230=0,"",0.6745*(B230-H230)/I230)</f>
        <v/>
      </c>
      <c r="K230" s="13">
        <f>0.2*B230+0.8*K229</f>
        <v/>
      </c>
      <c r="L230" s="13">
        <f>C230+3*D230*SQRT(0.2/(2-0.2))</f>
        <v/>
      </c>
      <c r="M230" s="13">
        <f>C230-3*D230*SQRT(0.2/(2-0.2))</f>
        <v/>
      </c>
      <c r="N230" s="13">
        <f>MAX(0,N229+(B230-C230-0.5*D230))</f>
        <v/>
      </c>
      <c r="O230" s="13">
        <f>MIN(0,O229+(B230-C230+0.5*D230))</f>
        <v/>
      </c>
      <c r="P230">
        <f>IF(ABS(G230)&gt;1,P229+1,0)</f>
        <v/>
      </c>
      <c r="Q230">
        <f>IFS(OR(ABS(G230)&gt;3,N230&gt;5*D230,ABS(O230)&gt;5*D230,P230&gt;=5),"CRITICAL",OR(ABS(G230)&gt;2,P230&gt;=3,ABS(J230)&gt;3.5),"EARLY WARNING",ABS(G230)&gt;1,"WATCH",TRUE,"NORMAL")</f>
        <v/>
      </c>
    </row>
    <row r="231">
      <c r="A231" s="12" t="n">
        <v>45256</v>
      </c>
      <c r="B231" s="13">
        <f>Raw_Data!B231</f>
        <v/>
      </c>
      <c r="C231" s="13">
        <f>AVERAGE(B202:B231)</f>
        <v/>
      </c>
      <c r="D231" s="13">
        <f>STDEV.S(B202:B231)</f>
        <v/>
      </c>
      <c r="E231" s="13">
        <f>C231+3*D231</f>
        <v/>
      </c>
      <c r="F231" s="13">
        <f>C231-3*D231</f>
        <v/>
      </c>
      <c r="G231" s="15">
        <f>IF(D231=0,"",(B231-C231)/D231)</f>
        <v/>
      </c>
      <c r="H231" s="13">
        <f>MEDIAN(B202:B231)</f>
        <v/>
      </c>
      <c r="I231" s="13">
        <f>MEDIAN(ABS(B202:B231-H231))</f>
        <v/>
      </c>
      <c r="J231" s="15">
        <f>IF(I231=0,"",0.6745*(B231-H231)/I231)</f>
        <v/>
      </c>
      <c r="K231" s="13">
        <f>0.2*B231+0.8*K230</f>
        <v/>
      </c>
      <c r="L231" s="13">
        <f>C231+3*D231*SQRT(0.2/(2-0.2))</f>
        <v/>
      </c>
      <c r="M231" s="13">
        <f>C231-3*D231*SQRT(0.2/(2-0.2))</f>
        <v/>
      </c>
      <c r="N231" s="13">
        <f>MAX(0,N230+(B231-C231-0.5*D231))</f>
        <v/>
      </c>
      <c r="O231" s="13">
        <f>MIN(0,O230+(B231-C231+0.5*D231))</f>
        <v/>
      </c>
      <c r="P231">
        <f>IF(ABS(G231)&gt;1,P230+1,0)</f>
        <v/>
      </c>
      <c r="Q231">
        <f>IFS(OR(ABS(G231)&gt;3,N231&gt;5*D231,ABS(O231)&gt;5*D231,P231&gt;=5),"CRITICAL",OR(ABS(G231)&gt;2,P231&gt;=3,ABS(J231)&gt;3.5),"EARLY WARNING",ABS(G231)&gt;1,"WATCH",TRUE,"NORMAL")</f>
        <v/>
      </c>
    </row>
    <row r="232">
      <c r="A232" s="12" t="n">
        <v>45257</v>
      </c>
      <c r="B232" s="13">
        <f>Raw_Data!B232</f>
        <v/>
      </c>
      <c r="C232" s="13">
        <f>AVERAGE(B203:B232)</f>
        <v/>
      </c>
      <c r="D232" s="13">
        <f>STDEV.S(B203:B232)</f>
        <v/>
      </c>
      <c r="E232" s="13">
        <f>C232+3*D232</f>
        <v/>
      </c>
      <c r="F232" s="13">
        <f>C232-3*D232</f>
        <v/>
      </c>
      <c r="G232" s="15">
        <f>IF(D232=0,"",(B232-C232)/D232)</f>
        <v/>
      </c>
      <c r="H232" s="13">
        <f>MEDIAN(B203:B232)</f>
        <v/>
      </c>
      <c r="I232" s="13">
        <f>MEDIAN(ABS(B203:B232-H232))</f>
        <v/>
      </c>
      <c r="J232" s="15">
        <f>IF(I232=0,"",0.6745*(B232-H232)/I232)</f>
        <v/>
      </c>
      <c r="K232" s="13">
        <f>0.2*B232+0.8*K231</f>
        <v/>
      </c>
      <c r="L232" s="13">
        <f>C232+3*D232*SQRT(0.2/(2-0.2))</f>
        <v/>
      </c>
      <c r="M232" s="13">
        <f>C232-3*D232*SQRT(0.2/(2-0.2))</f>
        <v/>
      </c>
      <c r="N232" s="13">
        <f>MAX(0,N231+(B232-C232-0.5*D232))</f>
        <v/>
      </c>
      <c r="O232" s="13">
        <f>MIN(0,O231+(B232-C232+0.5*D232))</f>
        <v/>
      </c>
      <c r="P232">
        <f>IF(ABS(G232)&gt;1,P231+1,0)</f>
        <v/>
      </c>
      <c r="Q232">
        <f>IFS(OR(ABS(G232)&gt;3,N232&gt;5*D232,ABS(O232)&gt;5*D232,P232&gt;=5),"CRITICAL",OR(ABS(G232)&gt;2,P232&gt;=3,ABS(J232)&gt;3.5),"EARLY WARNING",ABS(G232)&gt;1,"WATCH",TRUE,"NORMAL")</f>
        <v/>
      </c>
    </row>
    <row r="233">
      <c r="A233" s="12" t="n">
        <v>45258</v>
      </c>
      <c r="B233" s="13">
        <f>Raw_Data!B233</f>
        <v/>
      </c>
      <c r="C233" s="13">
        <f>AVERAGE(B204:B233)</f>
        <v/>
      </c>
      <c r="D233" s="13">
        <f>STDEV.S(B204:B233)</f>
        <v/>
      </c>
      <c r="E233" s="13">
        <f>C233+3*D233</f>
        <v/>
      </c>
      <c r="F233" s="13">
        <f>C233-3*D233</f>
        <v/>
      </c>
      <c r="G233" s="15">
        <f>IF(D233=0,"",(B233-C233)/D233)</f>
        <v/>
      </c>
      <c r="H233" s="13">
        <f>MEDIAN(B204:B233)</f>
        <v/>
      </c>
      <c r="I233" s="13">
        <f>MEDIAN(ABS(B204:B233-H233))</f>
        <v/>
      </c>
      <c r="J233" s="15">
        <f>IF(I233=0,"",0.6745*(B233-H233)/I233)</f>
        <v/>
      </c>
      <c r="K233" s="13">
        <f>0.2*B233+0.8*K232</f>
        <v/>
      </c>
      <c r="L233" s="13">
        <f>C233+3*D233*SQRT(0.2/(2-0.2))</f>
        <v/>
      </c>
      <c r="M233" s="13">
        <f>C233-3*D233*SQRT(0.2/(2-0.2))</f>
        <v/>
      </c>
      <c r="N233" s="13">
        <f>MAX(0,N232+(B233-C233-0.5*D233))</f>
        <v/>
      </c>
      <c r="O233" s="13">
        <f>MIN(0,O232+(B233-C233+0.5*D233))</f>
        <v/>
      </c>
      <c r="P233">
        <f>IF(ABS(G233)&gt;1,P232+1,0)</f>
        <v/>
      </c>
      <c r="Q233">
        <f>IFS(OR(ABS(G233)&gt;3,N233&gt;5*D233,ABS(O233)&gt;5*D233,P233&gt;=5),"CRITICAL",OR(ABS(G233)&gt;2,P233&gt;=3,ABS(J233)&gt;3.5),"EARLY WARNING",ABS(G233)&gt;1,"WATCH",TRUE,"NORMAL")</f>
        <v/>
      </c>
    </row>
    <row r="234">
      <c r="A234" s="12" t="n">
        <v>45259</v>
      </c>
      <c r="B234" s="13">
        <f>Raw_Data!B234</f>
        <v/>
      </c>
      <c r="C234" s="13">
        <f>AVERAGE(B205:B234)</f>
        <v/>
      </c>
      <c r="D234" s="13">
        <f>STDEV.S(B205:B234)</f>
        <v/>
      </c>
      <c r="E234" s="13">
        <f>C234+3*D234</f>
        <v/>
      </c>
      <c r="F234" s="13">
        <f>C234-3*D234</f>
        <v/>
      </c>
      <c r="G234" s="15">
        <f>IF(D234=0,"",(B234-C234)/D234)</f>
        <v/>
      </c>
      <c r="H234" s="13">
        <f>MEDIAN(B205:B234)</f>
        <v/>
      </c>
      <c r="I234" s="13">
        <f>MEDIAN(ABS(B205:B234-H234))</f>
        <v/>
      </c>
      <c r="J234" s="15">
        <f>IF(I234=0,"",0.6745*(B234-H234)/I234)</f>
        <v/>
      </c>
      <c r="K234" s="13">
        <f>0.2*B234+0.8*K233</f>
        <v/>
      </c>
      <c r="L234" s="13">
        <f>C234+3*D234*SQRT(0.2/(2-0.2))</f>
        <v/>
      </c>
      <c r="M234" s="13">
        <f>C234-3*D234*SQRT(0.2/(2-0.2))</f>
        <v/>
      </c>
      <c r="N234" s="13">
        <f>MAX(0,N233+(B234-C234-0.5*D234))</f>
        <v/>
      </c>
      <c r="O234" s="13">
        <f>MIN(0,O233+(B234-C234+0.5*D234))</f>
        <v/>
      </c>
      <c r="P234">
        <f>IF(ABS(G234)&gt;1,P233+1,0)</f>
        <v/>
      </c>
      <c r="Q234">
        <f>IFS(OR(ABS(G234)&gt;3,N234&gt;5*D234,ABS(O234)&gt;5*D234,P234&gt;=5),"CRITICAL",OR(ABS(G234)&gt;2,P234&gt;=3,ABS(J234)&gt;3.5),"EARLY WARNING",ABS(G234)&gt;1,"WATCH",TRUE,"NORMAL")</f>
        <v/>
      </c>
    </row>
    <row r="235">
      <c r="A235" s="12" t="n">
        <v>45260</v>
      </c>
      <c r="B235" s="13">
        <f>Raw_Data!B235</f>
        <v/>
      </c>
      <c r="C235" s="13">
        <f>AVERAGE(B206:B235)</f>
        <v/>
      </c>
      <c r="D235" s="13">
        <f>STDEV.S(B206:B235)</f>
        <v/>
      </c>
      <c r="E235" s="13">
        <f>C235+3*D235</f>
        <v/>
      </c>
      <c r="F235" s="13">
        <f>C235-3*D235</f>
        <v/>
      </c>
      <c r="G235" s="15">
        <f>IF(D235=0,"",(B235-C235)/D235)</f>
        <v/>
      </c>
      <c r="H235" s="13">
        <f>MEDIAN(B206:B235)</f>
        <v/>
      </c>
      <c r="I235" s="13">
        <f>MEDIAN(ABS(B206:B235-H235))</f>
        <v/>
      </c>
      <c r="J235" s="15">
        <f>IF(I235=0,"",0.6745*(B235-H235)/I235)</f>
        <v/>
      </c>
      <c r="K235" s="13">
        <f>0.2*B235+0.8*K234</f>
        <v/>
      </c>
      <c r="L235" s="13">
        <f>C235+3*D235*SQRT(0.2/(2-0.2))</f>
        <v/>
      </c>
      <c r="M235" s="13">
        <f>C235-3*D235*SQRT(0.2/(2-0.2))</f>
        <v/>
      </c>
      <c r="N235" s="13">
        <f>MAX(0,N234+(B235-C235-0.5*D235))</f>
        <v/>
      </c>
      <c r="O235" s="13">
        <f>MIN(0,O234+(B235-C235+0.5*D235))</f>
        <v/>
      </c>
      <c r="P235">
        <f>IF(ABS(G235)&gt;1,P234+1,0)</f>
        <v/>
      </c>
      <c r="Q235">
        <f>IFS(OR(ABS(G235)&gt;3,N235&gt;5*D235,ABS(O235)&gt;5*D235,P235&gt;=5),"CRITICAL",OR(ABS(G235)&gt;2,P235&gt;=3,ABS(J235)&gt;3.5),"EARLY WARNING",ABS(G235)&gt;1,"WATCH",TRUE,"NORMAL")</f>
        <v/>
      </c>
    </row>
    <row r="236">
      <c r="A236" s="12" t="n">
        <v>45261</v>
      </c>
      <c r="B236" s="13">
        <f>Raw_Data!B236</f>
        <v/>
      </c>
      <c r="C236" s="13">
        <f>AVERAGE(B207:B236)</f>
        <v/>
      </c>
      <c r="D236" s="13">
        <f>STDEV.S(B207:B236)</f>
        <v/>
      </c>
      <c r="E236" s="13">
        <f>C236+3*D236</f>
        <v/>
      </c>
      <c r="F236" s="13">
        <f>C236-3*D236</f>
        <v/>
      </c>
      <c r="G236" s="15">
        <f>IF(D236=0,"",(B236-C236)/D236)</f>
        <v/>
      </c>
      <c r="H236" s="13">
        <f>MEDIAN(B207:B236)</f>
        <v/>
      </c>
      <c r="I236" s="13">
        <f>MEDIAN(ABS(B207:B236-H236))</f>
        <v/>
      </c>
      <c r="J236" s="15">
        <f>IF(I236=0,"",0.6745*(B236-H236)/I236)</f>
        <v/>
      </c>
      <c r="K236" s="13">
        <f>0.2*B236+0.8*K235</f>
        <v/>
      </c>
      <c r="L236" s="13">
        <f>C236+3*D236*SQRT(0.2/(2-0.2))</f>
        <v/>
      </c>
      <c r="M236" s="13">
        <f>C236-3*D236*SQRT(0.2/(2-0.2))</f>
        <v/>
      </c>
      <c r="N236" s="13">
        <f>MAX(0,N235+(B236-C236-0.5*D236))</f>
        <v/>
      </c>
      <c r="O236" s="13">
        <f>MIN(0,O235+(B236-C236+0.5*D236))</f>
        <v/>
      </c>
      <c r="P236">
        <f>IF(ABS(G236)&gt;1,P235+1,0)</f>
        <v/>
      </c>
      <c r="Q236">
        <f>IFS(OR(ABS(G236)&gt;3,N236&gt;5*D236,ABS(O236)&gt;5*D236,P236&gt;=5),"CRITICAL",OR(ABS(G236)&gt;2,P236&gt;=3,ABS(J236)&gt;3.5),"EARLY WARNING",ABS(G236)&gt;1,"WATCH",TRUE,"NORMAL")</f>
        <v/>
      </c>
    </row>
    <row r="237">
      <c r="A237" s="12" t="n">
        <v>45262</v>
      </c>
      <c r="B237" s="13">
        <f>Raw_Data!B237</f>
        <v/>
      </c>
      <c r="C237" s="13">
        <f>AVERAGE(B208:B237)</f>
        <v/>
      </c>
      <c r="D237" s="13">
        <f>STDEV.S(B208:B237)</f>
        <v/>
      </c>
      <c r="E237" s="13">
        <f>C237+3*D237</f>
        <v/>
      </c>
      <c r="F237" s="13">
        <f>C237-3*D237</f>
        <v/>
      </c>
      <c r="G237" s="15">
        <f>IF(D237=0,"",(B237-C237)/D237)</f>
        <v/>
      </c>
      <c r="H237" s="13">
        <f>MEDIAN(B208:B237)</f>
        <v/>
      </c>
      <c r="I237" s="13">
        <f>MEDIAN(ABS(B208:B237-H237))</f>
        <v/>
      </c>
      <c r="J237" s="15">
        <f>IF(I237=0,"",0.6745*(B237-H237)/I237)</f>
        <v/>
      </c>
      <c r="K237" s="13">
        <f>0.2*B237+0.8*K236</f>
        <v/>
      </c>
      <c r="L237" s="13">
        <f>C237+3*D237*SQRT(0.2/(2-0.2))</f>
        <v/>
      </c>
      <c r="M237" s="13">
        <f>C237-3*D237*SQRT(0.2/(2-0.2))</f>
        <v/>
      </c>
      <c r="N237" s="13">
        <f>MAX(0,N236+(B237-C237-0.5*D237))</f>
        <v/>
      </c>
      <c r="O237" s="13">
        <f>MIN(0,O236+(B237-C237+0.5*D237))</f>
        <v/>
      </c>
      <c r="P237">
        <f>IF(ABS(G237)&gt;1,P236+1,0)</f>
        <v/>
      </c>
      <c r="Q237">
        <f>IFS(OR(ABS(G237)&gt;3,N237&gt;5*D237,ABS(O237)&gt;5*D237,P237&gt;=5),"CRITICAL",OR(ABS(G237)&gt;2,P237&gt;=3,ABS(J237)&gt;3.5),"EARLY WARNING",ABS(G237)&gt;1,"WATCH",TRUE,"NORMAL")</f>
        <v/>
      </c>
    </row>
    <row r="238">
      <c r="A238" s="12" t="n">
        <v>45263</v>
      </c>
      <c r="B238" s="13">
        <f>Raw_Data!B238</f>
        <v/>
      </c>
      <c r="C238" s="13">
        <f>AVERAGE(B209:B238)</f>
        <v/>
      </c>
      <c r="D238" s="13">
        <f>STDEV.S(B209:B238)</f>
        <v/>
      </c>
      <c r="E238" s="13">
        <f>C238+3*D238</f>
        <v/>
      </c>
      <c r="F238" s="13">
        <f>C238-3*D238</f>
        <v/>
      </c>
      <c r="G238" s="15">
        <f>IF(D238=0,"",(B238-C238)/D238)</f>
        <v/>
      </c>
      <c r="H238" s="13">
        <f>MEDIAN(B209:B238)</f>
        <v/>
      </c>
      <c r="I238" s="13">
        <f>MEDIAN(ABS(B209:B238-H238))</f>
        <v/>
      </c>
      <c r="J238" s="15">
        <f>IF(I238=0,"",0.6745*(B238-H238)/I238)</f>
        <v/>
      </c>
      <c r="K238" s="13">
        <f>0.2*B238+0.8*K237</f>
        <v/>
      </c>
      <c r="L238" s="13">
        <f>C238+3*D238*SQRT(0.2/(2-0.2))</f>
        <v/>
      </c>
      <c r="M238" s="13">
        <f>C238-3*D238*SQRT(0.2/(2-0.2))</f>
        <v/>
      </c>
      <c r="N238" s="13">
        <f>MAX(0,N237+(B238-C238-0.5*D238))</f>
        <v/>
      </c>
      <c r="O238" s="13">
        <f>MIN(0,O237+(B238-C238+0.5*D238))</f>
        <v/>
      </c>
      <c r="P238">
        <f>IF(ABS(G238)&gt;1,P237+1,0)</f>
        <v/>
      </c>
      <c r="Q238">
        <f>IFS(OR(ABS(G238)&gt;3,N238&gt;5*D238,ABS(O238)&gt;5*D238,P238&gt;=5),"CRITICAL",OR(ABS(G238)&gt;2,P238&gt;=3,ABS(J238)&gt;3.5),"EARLY WARNING",ABS(G238)&gt;1,"WATCH",TRUE,"NORMAL")</f>
        <v/>
      </c>
    </row>
    <row r="239">
      <c r="A239" s="12" t="n">
        <v>45264</v>
      </c>
      <c r="B239" s="13">
        <f>Raw_Data!B239</f>
        <v/>
      </c>
      <c r="C239" s="13">
        <f>AVERAGE(B210:B239)</f>
        <v/>
      </c>
      <c r="D239" s="13">
        <f>STDEV.S(B210:B239)</f>
        <v/>
      </c>
      <c r="E239" s="13">
        <f>C239+3*D239</f>
        <v/>
      </c>
      <c r="F239" s="13">
        <f>C239-3*D239</f>
        <v/>
      </c>
      <c r="G239" s="15">
        <f>IF(D239=0,"",(B239-C239)/D239)</f>
        <v/>
      </c>
      <c r="H239" s="13">
        <f>MEDIAN(B210:B239)</f>
        <v/>
      </c>
      <c r="I239" s="13">
        <f>MEDIAN(ABS(B210:B239-H239))</f>
        <v/>
      </c>
      <c r="J239" s="15">
        <f>IF(I239=0,"",0.6745*(B239-H239)/I239)</f>
        <v/>
      </c>
      <c r="K239" s="13">
        <f>0.2*B239+0.8*K238</f>
        <v/>
      </c>
      <c r="L239" s="13">
        <f>C239+3*D239*SQRT(0.2/(2-0.2))</f>
        <v/>
      </c>
      <c r="M239" s="13">
        <f>C239-3*D239*SQRT(0.2/(2-0.2))</f>
        <v/>
      </c>
      <c r="N239" s="13">
        <f>MAX(0,N238+(B239-C239-0.5*D239))</f>
        <v/>
      </c>
      <c r="O239" s="13">
        <f>MIN(0,O238+(B239-C239+0.5*D239))</f>
        <v/>
      </c>
      <c r="P239">
        <f>IF(ABS(G239)&gt;1,P238+1,0)</f>
        <v/>
      </c>
      <c r="Q239">
        <f>IFS(OR(ABS(G239)&gt;3,N239&gt;5*D239,ABS(O239)&gt;5*D239,P239&gt;=5),"CRITICAL",OR(ABS(G239)&gt;2,P239&gt;=3,ABS(J239)&gt;3.5),"EARLY WARNING",ABS(G239)&gt;1,"WATCH",TRUE,"NORMAL")</f>
        <v/>
      </c>
    </row>
    <row r="240">
      <c r="A240" s="12" t="n">
        <v>45265</v>
      </c>
      <c r="B240" s="13">
        <f>Raw_Data!B240</f>
        <v/>
      </c>
      <c r="C240" s="13">
        <f>AVERAGE(B211:B240)</f>
        <v/>
      </c>
      <c r="D240" s="13">
        <f>STDEV.S(B211:B240)</f>
        <v/>
      </c>
      <c r="E240" s="13">
        <f>C240+3*D240</f>
        <v/>
      </c>
      <c r="F240" s="13">
        <f>C240-3*D240</f>
        <v/>
      </c>
      <c r="G240" s="15">
        <f>IF(D240=0,"",(B240-C240)/D240)</f>
        <v/>
      </c>
      <c r="H240" s="13">
        <f>MEDIAN(B211:B240)</f>
        <v/>
      </c>
      <c r="I240" s="13">
        <f>MEDIAN(ABS(B211:B240-H240))</f>
        <v/>
      </c>
      <c r="J240" s="15">
        <f>IF(I240=0,"",0.6745*(B240-H240)/I240)</f>
        <v/>
      </c>
      <c r="K240" s="13">
        <f>0.2*B240+0.8*K239</f>
        <v/>
      </c>
      <c r="L240" s="13">
        <f>C240+3*D240*SQRT(0.2/(2-0.2))</f>
        <v/>
      </c>
      <c r="M240" s="13">
        <f>C240-3*D240*SQRT(0.2/(2-0.2))</f>
        <v/>
      </c>
      <c r="N240" s="13">
        <f>MAX(0,N239+(B240-C240-0.5*D240))</f>
        <v/>
      </c>
      <c r="O240" s="13">
        <f>MIN(0,O239+(B240-C240+0.5*D240))</f>
        <v/>
      </c>
      <c r="P240">
        <f>IF(ABS(G240)&gt;1,P239+1,0)</f>
        <v/>
      </c>
      <c r="Q240">
        <f>IFS(OR(ABS(G240)&gt;3,N240&gt;5*D240,ABS(O240)&gt;5*D240,P240&gt;=5),"CRITICAL",OR(ABS(G240)&gt;2,P240&gt;=3,ABS(J240)&gt;3.5),"EARLY WARNING",ABS(G240)&gt;1,"WATCH",TRUE,"NORMAL")</f>
        <v/>
      </c>
    </row>
    <row r="241">
      <c r="A241" s="12" t="n">
        <v>45266</v>
      </c>
      <c r="B241" s="13">
        <f>Raw_Data!B241</f>
        <v/>
      </c>
      <c r="C241" s="13">
        <f>AVERAGE(B212:B241)</f>
        <v/>
      </c>
      <c r="D241" s="13">
        <f>STDEV.S(B212:B241)</f>
        <v/>
      </c>
      <c r="E241" s="13">
        <f>C241+3*D241</f>
        <v/>
      </c>
      <c r="F241" s="13">
        <f>C241-3*D241</f>
        <v/>
      </c>
      <c r="G241" s="15">
        <f>IF(D241=0,"",(B241-C241)/D241)</f>
        <v/>
      </c>
      <c r="H241" s="13">
        <f>MEDIAN(B212:B241)</f>
        <v/>
      </c>
      <c r="I241" s="13">
        <f>MEDIAN(ABS(B212:B241-H241))</f>
        <v/>
      </c>
      <c r="J241" s="15">
        <f>IF(I241=0,"",0.6745*(B241-H241)/I241)</f>
        <v/>
      </c>
      <c r="K241" s="13">
        <f>0.2*B241+0.8*K240</f>
        <v/>
      </c>
      <c r="L241" s="13">
        <f>C241+3*D241*SQRT(0.2/(2-0.2))</f>
        <v/>
      </c>
      <c r="M241" s="13">
        <f>C241-3*D241*SQRT(0.2/(2-0.2))</f>
        <v/>
      </c>
      <c r="N241" s="13">
        <f>MAX(0,N240+(B241-C241-0.5*D241))</f>
        <v/>
      </c>
      <c r="O241" s="13">
        <f>MIN(0,O240+(B241-C241+0.5*D241))</f>
        <v/>
      </c>
      <c r="P241">
        <f>IF(ABS(G241)&gt;1,P240+1,0)</f>
        <v/>
      </c>
      <c r="Q241">
        <f>IFS(OR(ABS(G241)&gt;3,N241&gt;5*D241,ABS(O241)&gt;5*D241,P241&gt;=5),"CRITICAL",OR(ABS(G241)&gt;2,P241&gt;=3,ABS(J241)&gt;3.5),"EARLY WARNING",ABS(G241)&gt;1,"WATCH",TRUE,"NORMAL")</f>
        <v/>
      </c>
    </row>
    <row r="242">
      <c r="A242" s="12" t="n">
        <v>45267</v>
      </c>
      <c r="B242" s="13">
        <f>Raw_Data!B242</f>
        <v/>
      </c>
      <c r="C242" s="13">
        <f>AVERAGE(B213:B242)</f>
        <v/>
      </c>
      <c r="D242" s="13">
        <f>STDEV.S(B213:B242)</f>
        <v/>
      </c>
      <c r="E242" s="13">
        <f>C242+3*D242</f>
        <v/>
      </c>
      <c r="F242" s="13">
        <f>C242-3*D242</f>
        <v/>
      </c>
      <c r="G242" s="15">
        <f>IF(D242=0,"",(B242-C242)/D242)</f>
        <v/>
      </c>
      <c r="H242" s="13">
        <f>MEDIAN(B213:B242)</f>
        <v/>
      </c>
      <c r="I242" s="13">
        <f>MEDIAN(ABS(B213:B242-H242))</f>
        <v/>
      </c>
      <c r="J242" s="15">
        <f>IF(I242=0,"",0.6745*(B242-H242)/I242)</f>
        <v/>
      </c>
      <c r="K242" s="13">
        <f>0.2*B242+0.8*K241</f>
        <v/>
      </c>
      <c r="L242" s="13">
        <f>C242+3*D242*SQRT(0.2/(2-0.2))</f>
        <v/>
      </c>
      <c r="M242" s="13">
        <f>C242-3*D242*SQRT(0.2/(2-0.2))</f>
        <v/>
      </c>
      <c r="N242" s="13">
        <f>MAX(0,N241+(B242-C242-0.5*D242))</f>
        <v/>
      </c>
      <c r="O242" s="13">
        <f>MIN(0,O241+(B242-C242+0.5*D242))</f>
        <v/>
      </c>
      <c r="P242">
        <f>IF(ABS(G242)&gt;1,P241+1,0)</f>
        <v/>
      </c>
      <c r="Q242">
        <f>IFS(OR(ABS(G242)&gt;3,N242&gt;5*D242,ABS(O242)&gt;5*D242,P242&gt;=5),"CRITICAL",OR(ABS(G242)&gt;2,P242&gt;=3,ABS(J242)&gt;3.5),"EARLY WARNING",ABS(G242)&gt;1,"WATCH",TRUE,"NORMAL")</f>
        <v/>
      </c>
    </row>
    <row r="243">
      <c r="A243" s="12" t="n">
        <v>45268</v>
      </c>
      <c r="B243" s="13">
        <f>Raw_Data!B243</f>
        <v/>
      </c>
      <c r="C243" s="13">
        <f>AVERAGE(B214:B243)</f>
        <v/>
      </c>
      <c r="D243" s="13">
        <f>STDEV.S(B214:B243)</f>
        <v/>
      </c>
      <c r="E243" s="13">
        <f>C243+3*D243</f>
        <v/>
      </c>
      <c r="F243" s="13">
        <f>C243-3*D243</f>
        <v/>
      </c>
      <c r="G243" s="15">
        <f>IF(D243=0,"",(B243-C243)/D243)</f>
        <v/>
      </c>
      <c r="H243" s="13">
        <f>MEDIAN(B214:B243)</f>
        <v/>
      </c>
      <c r="I243" s="13">
        <f>MEDIAN(ABS(B214:B243-H243))</f>
        <v/>
      </c>
      <c r="J243" s="15">
        <f>IF(I243=0,"",0.6745*(B243-H243)/I243)</f>
        <v/>
      </c>
      <c r="K243" s="13">
        <f>0.2*B243+0.8*K242</f>
        <v/>
      </c>
      <c r="L243" s="13">
        <f>C243+3*D243*SQRT(0.2/(2-0.2))</f>
        <v/>
      </c>
      <c r="M243" s="13">
        <f>C243-3*D243*SQRT(0.2/(2-0.2))</f>
        <v/>
      </c>
      <c r="N243" s="13">
        <f>MAX(0,N242+(B243-C243-0.5*D243))</f>
        <v/>
      </c>
      <c r="O243" s="13">
        <f>MIN(0,O242+(B243-C243+0.5*D243))</f>
        <v/>
      </c>
      <c r="P243">
        <f>IF(ABS(G243)&gt;1,P242+1,0)</f>
        <v/>
      </c>
      <c r="Q243">
        <f>IFS(OR(ABS(G243)&gt;3,N243&gt;5*D243,ABS(O243)&gt;5*D243,P243&gt;=5),"CRITICAL",OR(ABS(G243)&gt;2,P243&gt;=3,ABS(J243)&gt;3.5),"EARLY WARNING",ABS(G243)&gt;1,"WATCH",TRUE,"NORMAL")</f>
        <v/>
      </c>
    </row>
    <row r="244">
      <c r="A244" s="12" t="n">
        <v>45269</v>
      </c>
      <c r="B244" s="13">
        <f>Raw_Data!B244</f>
        <v/>
      </c>
      <c r="C244" s="13">
        <f>AVERAGE(B215:B244)</f>
        <v/>
      </c>
      <c r="D244" s="13">
        <f>STDEV.S(B215:B244)</f>
        <v/>
      </c>
      <c r="E244" s="13">
        <f>C244+3*D244</f>
        <v/>
      </c>
      <c r="F244" s="13">
        <f>C244-3*D244</f>
        <v/>
      </c>
      <c r="G244" s="15">
        <f>IF(D244=0,"",(B244-C244)/D244)</f>
        <v/>
      </c>
      <c r="H244" s="13">
        <f>MEDIAN(B215:B244)</f>
        <v/>
      </c>
      <c r="I244" s="13">
        <f>MEDIAN(ABS(B215:B244-H244))</f>
        <v/>
      </c>
      <c r="J244" s="15">
        <f>IF(I244=0,"",0.6745*(B244-H244)/I244)</f>
        <v/>
      </c>
      <c r="K244" s="13">
        <f>0.2*B244+0.8*K243</f>
        <v/>
      </c>
      <c r="L244" s="13">
        <f>C244+3*D244*SQRT(0.2/(2-0.2))</f>
        <v/>
      </c>
      <c r="M244" s="13">
        <f>C244-3*D244*SQRT(0.2/(2-0.2))</f>
        <v/>
      </c>
      <c r="N244" s="13">
        <f>MAX(0,N243+(B244-C244-0.5*D244))</f>
        <v/>
      </c>
      <c r="O244" s="13">
        <f>MIN(0,O243+(B244-C244+0.5*D244))</f>
        <v/>
      </c>
      <c r="P244">
        <f>IF(ABS(G244)&gt;1,P243+1,0)</f>
        <v/>
      </c>
      <c r="Q244">
        <f>IFS(OR(ABS(G244)&gt;3,N244&gt;5*D244,ABS(O244)&gt;5*D244,P244&gt;=5),"CRITICAL",OR(ABS(G244)&gt;2,P244&gt;=3,ABS(J244)&gt;3.5),"EARLY WARNING",ABS(G244)&gt;1,"WATCH",TRUE,"NORMAL")</f>
        <v/>
      </c>
    </row>
    <row r="245">
      <c r="A245" s="12" t="n">
        <v>45270</v>
      </c>
      <c r="B245" s="13">
        <f>Raw_Data!B245</f>
        <v/>
      </c>
      <c r="C245" s="13">
        <f>AVERAGE(B216:B245)</f>
        <v/>
      </c>
      <c r="D245" s="13">
        <f>STDEV.S(B216:B245)</f>
        <v/>
      </c>
      <c r="E245" s="13">
        <f>C245+3*D245</f>
        <v/>
      </c>
      <c r="F245" s="13">
        <f>C245-3*D245</f>
        <v/>
      </c>
      <c r="G245" s="15">
        <f>IF(D245=0,"",(B245-C245)/D245)</f>
        <v/>
      </c>
      <c r="H245" s="13">
        <f>MEDIAN(B216:B245)</f>
        <v/>
      </c>
      <c r="I245" s="13">
        <f>MEDIAN(ABS(B216:B245-H245))</f>
        <v/>
      </c>
      <c r="J245" s="15">
        <f>IF(I245=0,"",0.6745*(B245-H245)/I245)</f>
        <v/>
      </c>
      <c r="K245" s="13">
        <f>0.2*B245+0.8*K244</f>
        <v/>
      </c>
      <c r="L245" s="13">
        <f>C245+3*D245*SQRT(0.2/(2-0.2))</f>
        <v/>
      </c>
      <c r="M245" s="13">
        <f>C245-3*D245*SQRT(0.2/(2-0.2))</f>
        <v/>
      </c>
      <c r="N245" s="13">
        <f>MAX(0,N244+(B245-C245-0.5*D245))</f>
        <v/>
      </c>
      <c r="O245" s="13">
        <f>MIN(0,O244+(B245-C245+0.5*D245))</f>
        <v/>
      </c>
      <c r="P245">
        <f>IF(ABS(G245)&gt;1,P244+1,0)</f>
        <v/>
      </c>
      <c r="Q245">
        <f>IFS(OR(ABS(G245)&gt;3,N245&gt;5*D245,ABS(O245)&gt;5*D245,P245&gt;=5),"CRITICAL",OR(ABS(G245)&gt;2,P245&gt;=3,ABS(J245)&gt;3.5),"EARLY WARNING",ABS(G245)&gt;1,"WATCH",TRUE,"NORMAL")</f>
        <v/>
      </c>
    </row>
    <row r="246">
      <c r="A246" s="12" t="n">
        <v>45271</v>
      </c>
      <c r="B246" s="13">
        <f>Raw_Data!B246</f>
        <v/>
      </c>
      <c r="C246" s="13">
        <f>AVERAGE(B217:B246)</f>
        <v/>
      </c>
      <c r="D246" s="13">
        <f>STDEV.S(B217:B246)</f>
        <v/>
      </c>
      <c r="E246" s="13">
        <f>C246+3*D246</f>
        <v/>
      </c>
      <c r="F246" s="13">
        <f>C246-3*D246</f>
        <v/>
      </c>
      <c r="G246" s="15">
        <f>IF(D246=0,"",(B246-C246)/D246)</f>
        <v/>
      </c>
      <c r="H246" s="13">
        <f>MEDIAN(B217:B246)</f>
        <v/>
      </c>
      <c r="I246" s="13">
        <f>MEDIAN(ABS(B217:B246-H246))</f>
        <v/>
      </c>
      <c r="J246" s="15">
        <f>IF(I246=0,"",0.6745*(B246-H246)/I246)</f>
        <v/>
      </c>
      <c r="K246" s="13">
        <f>0.2*B246+0.8*K245</f>
        <v/>
      </c>
      <c r="L246" s="13">
        <f>C246+3*D246*SQRT(0.2/(2-0.2))</f>
        <v/>
      </c>
      <c r="M246" s="13">
        <f>C246-3*D246*SQRT(0.2/(2-0.2))</f>
        <v/>
      </c>
      <c r="N246" s="13">
        <f>MAX(0,N245+(B246-C246-0.5*D246))</f>
        <v/>
      </c>
      <c r="O246" s="13">
        <f>MIN(0,O245+(B246-C246+0.5*D246))</f>
        <v/>
      </c>
      <c r="P246">
        <f>IF(ABS(G246)&gt;1,P245+1,0)</f>
        <v/>
      </c>
      <c r="Q246">
        <f>IFS(OR(ABS(G246)&gt;3,N246&gt;5*D246,ABS(O246)&gt;5*D246,P246&gt;=5),"CRITICAL",OR(ABS(G246)&gt;2,P246&gt;=3,ABS(J246)&gt;3.5),"EARLY WARNING",ABS(G246)&gt;1,"WATCH",TRUE,"NORMAL")</f>
        <v/>
      </c>
    </row>
    <row r="247">
      <c r="A247" s="12" t="n">
        <v>45272</v>
      </c>
      <c r="B247" s="13">
        <f>Raw_Data!B247</f>
        <v/>
      </c>
      <c r="C247" s="13">
        <f>AVERAGE(B218:B247)</f>
        <v/>
      </c>
      <c r="D247" s="13">
        <f>STDEV.S(B218:B247)</f>
        <v/>
      </c>
      <c r="E247" s="13">
        <f>C247+3*D247</f>
        <v/>
      </c>
      <c r="F247" s="13">
        <f>C247-3*D247</f>
        <v/>
      </c>
      <c r="G247" s="15">
        <f>IF(D247=0,"",(B247-C247)/D247)</f>
        <v/>
      </c>
      <c r="H247" s="13">
        <f>MEDIAN(B218:B247)</f>
        <v/>
      </c>
      <c r="I247" s="13">
        <f>MEDIAN(ABS(B218:B247-H247))</f>
        <v/>
      </c>
      <c r="J247" s="15">
        <f>IF(I247=0,"",0.6745*(B247-H247)/I247)</f>
        <v/>
      </c>
      <c r="K247" s="13">
        <f>0.2*B247+0.8*K246</f>
        <v/>
      </c>
      <c r="L247" s="13">
        <f>C247+3*D247*SQRT(0.2/(2-0.2))</f>
        <v/>
      </c>
      <c r="M247" s="13">
        <f>C247-3*D247*SQRT(0.2/(2-0.2))</f>
        <v/>
      </c>
      <c r="N247" s="13">
        <f>MAX(0,N246+(B247-C247-0.5*D247))</f>
        <v/>
      </c>
      <c r="O247" s="13">
        <f>MIN(0,O246+(B247-C247+0.5*D247))</f>
        <v/>
      </c>
      <c r="P247">
        <f>IF(ABS(G247)&gt;1,P246+1,0)</f>
        <v/>
      </c>
      <c r="Q247">
        <f>IFS(OR(ABS(G247)&gt;3,N247&gt;5*D247,ABS(O247)&gt;5*D247,P247&gt;=5),"CRITICAL",OR(ABS(G247)&gt;2,P247&gt;=3,ABS(J247)&gt;3.5),"EARLY WARNING",ABS(G247)&gt;1,"WATCH",TRUE,"NORMAL")</f>
        <v/>
      </c>
    </row>
    <row r="248">
      <c r="A248" s="12" t="n">
        <v>45273</v>
      </c>
      <c r="B248" s="13">
        <f>Raw_Data!B248</f>
        <v/>
      </c>
      <c r="C248" s="13">
        <f>AVERAGE(B219:B248)</f>
        <v/>
      </c>
      <c r="D248" s="13">
        <f>STDEV.S(B219:B248)</f>
        <v/>
      </c>
      <c r="E248" s="13">
        <f>C248+3*D248</f>
        <v/>
      </c>
      <c r="F248" s="13">
        <f>C248-3*D248</f>
        <v/>
      </c>
      <c r="G248" s="15">
        <f>IF(D248=0,"",(B248-C248)/D248)</f>
        <v/>
      </c>
      <c r="H248" s="13">
        <f>MEDIAN(B219:B248)</f>
        <v/>
      </c>
      <c r="I248" s="13">
        <f>MEDIAN(ABS(B219:B248-H248))</f>
        <v/>
      </c>
      <c r="J248" s="15">
        <f>IF(I248=0,"",0.6745*(B248-H248)/I248)</f>
        <v/>
      </c>
      <c r="K248" s="13">
        <f>0.2*B248+0.8*K247</f>
        <v/>
      </c>
      <c r="L248" s="13">
        <f>C248+3*D248*SQRT(0.2/(2-0.2))</f>
        <v/>
      </c>
      <c r="M248" s="13">
        <f>C248-3*D248*SQRT(0.2/(2-0.2))</f>
        <v/>
      </c>
      <c r="N248" s="13">
        <f>MAX(0,N247+(B248-C248-0.5*D248))</f>
        <v/>
      </c>
      <c r="O248" s="13">
        <f>MIN(0,O247+(B248-C248+0.5*D248))</f>
        <v/>
      </c>
      <c r="P248">
        <f>IF(ABS(G248)&gt;1,P247+1,0)</f>
        <v/>
      </c>
      <c r="Q248">
        <f>IFS(OR(ABS(G248)&gt;3,N248&gt;5*D248,ABS(O248)&gt;5*D248,P248&gt;=5),"CRITICAL",OR(ABS(G248)&gt;2,P248&gt;=3,ABS(J248)&gt;3.5),"EARLY WARNING",ABS(G248)&gt;1,"WATCH",TRUE,"NORMAL")</f>
        <v/>
      </c>
    </row>
    <row r="249">
      <c r="A249" s="12" t="n">
        <v>45274</v>
      </c>
      <c r="B249" s="13">
        <f>Raw_Data!B249</f>
        <v/>
      </c>
      <c r="C249" s="13">
        <f>AVERAGE(B220:B249)</f>
        <v/>
      </c>
      <c r="D249" s="13">
        <f>STDEV.S(B220:B249)</f>
        <v/>
      </c>
      <c r="E249" s="13">
        <f>C249+3*D249</f>
        <v/>
      </c>
      <c r="F249" s="13">
        <f>C249-3*D249</f>
        <v/>
      </c>
      <c r="G249" s="15">
        <f>IF(D249=0,"",(B249-C249)/D249)</f>
        <v/>
      </c>
      <c r="H249" s="13">
        <f>MEDIAN(B220:B249)</f>
        <v/>
      </c>
      <c r="I249" s="13">
        <f>MEDIAN(ABS(B220:B249-H249))</f>
        <v/>
      </c>
      <c r="J249" s="15">
        <f>IF(I249=0,"",0.6745*(B249-H249)/I249)</f>
        <v/>
      </c>
      <c r="K249" s="13">
        <f>0.2*B249+0.8*K248</f>
        <v/>
      </c>
      <c r="L249" s="13">
        <f>C249+3*D249*SQRT(0.2/(2-0.2))</f>
        <v/>
      </c>
      <c r="M249" s="13">
        <f>C249-3*D249*SQRT(0.2/(2-0.2))</f>
        <v/>
      </c>
      <c r="N249" s="13">
        <f>MAX(0,N248+(B249-C249-0.5*D249))</f>
        <v/>
      </c>
      <c r="O249" s="13">
        <f>MIN(0,O248+(B249-C249+0.5*D249))</f>
        <v/>
      </c>
      <c r="P249">
        <f>IF(ABS(G249)&gt;1,P248+1,0)</f>
        <v/>
      </c>
      <c r="Q249">
        <f>IFS(OR(ABS(G249)&gt;3,N249&gt;5*D249,ABS(O249)&gt;5*D249,P249&gt;=5),"CRITICAL",OR(ABS(G249)&gt;2,P249&gt;=3,ABS(J249)&gt;3.5),"EARLY WARNING",ABS(G249)&gt;1,"WATCH",TRUE,"NORMAL")</f>
        <v/>
      </c>
    </row>
    <row r="250">
      <c r="A250" s="12" t="n">
        <v>45275</v>
      </c>
      <c r="B250" s="13">
        <f>Raw_Data!B250</f>
        <v/>
      </c>
      <c r="C250" s="13">
        <f>AVERAGE(B221:B250)</f>
        <v/>
      </c>
      <c r="D250" s="13">
        <f>STDEV.S(B221:B250)</f>
        <v/>
      </c>
      <c r="E250" s="13">
        <f>C250+3*D250</f>
        <v/>
      </c>
      <c r="F250" s="13">
        <f>C250-3*D250</f>
        <v/>
      </c>
      <c r="G250" s="15">
        <f>IF(D250=0,"",(B250-C250)/D250)</f>
        <v/>
      </c>
      <c r="H250" s="13">
        <f>MEDIAN(B221:B250)</f>
        <v/>
      </c>
      <c r="I250" s="13">
        <f>MEDIAN(ABS(B221:B250-H250))</f>
        <v/>
      </c>
      <c r="J250" s="15">
        <f>IF(I250=0,"",0.6745*(B250-H250)/I250)</f>
        <v/>
      </c>
      <c r="K250" s="13">
        <f>0.2*B250+0.8*K249</f>
        <v/>
      </c>
      <c r="L250" s="13">
        <f>C250+3*D250*SQRT(0.2/(2-0.2))</f>
        <v/>
      </c>
      <c r="M250" s="13">
        <f>C250-3*D250*SQRT(0.2/(2-0.2))</f>
        <v/>
      </c>
      <c r="N250" s="13">
        <f>MAX(0,N249+(B250-C250-0.5*D250))</f>
        <v/>
      </c>
      <c r="O250" s="13">
        <f>MIN(0,O249+(B250-C250+0.5*D250))</f>
        <v/>
      </c>
      <c r="P250">
        <f>IF(ABS(G250)&gt;1,P249+1,0)</f>
        <v/>
      </c>
      <c r="Q250">
        <f>IFS(OR(ABS(G250)&gt;3,N250&gt;5*D250,ABS(O250)&gt;5*D250,P250&gt;=5),"CRITICAL",OR(ABS(G250)&gt;2,P250&gt;=3,ABS(J250)&gt;3.5),"EARLY WARNING",ABS(G250)&gt;1,"WATCH",TRUE,"NORMAL")</f>
        <v/>
      </c>
    </row>
    <row r="251">
      <c r="A251" s="12" t="n">
        <v>45276</v>
      </c>
      <c r="B251" s="13">
        <f>Raw_Data!B251</f>
        <v/>
      </c>
      <c r="C251" s="13">
        <f>AVERAGE(B222:B251)</f>
        <v/>
      </c>
      <c r="D251" s="13">
        <f>STDEV.S(B222:B251)</f>
        <v/>
      </c>
      <c r="E251" s="13">
        <f>C251+3*D251</f>
        <v/>
      </c>
      <c r="F251" s="13">
        <f>C251-3*D251</f>
        <v/>
      </c>
      <c r="G251" s="15">
        <f>IF(D251=0,"",(B251-C251)/D251)</f>
        <v/>
      </c>
      <c r="H251" s="13">
        <f>MEDIAN(B222:B251)</f>
        <v/>
      </c>
      <c r="I251" s="13">
        <f>MEDIAN(ABS(B222:B251-H251))</f>
        <v/>
      </c>
      <c r="J251" s="15">
        <f>IF(I251=0,"",0.6745*(B251-H251)/I251)</f>
        <v/>
      </c>
      <c r="K251" s="13">
        <f>0.2*B251+0.8*K250</f>
        <v/>
      </c>
      <c r="L251" s="13">
        <f>C251+3*D251*SQRT(0.2/(2-0.2))</f>
        <v/>
      </c>
      <c r="M251" s="13">
        <f>C251-3*D251*SQRT(0.2/(2-0.2))</f>
        <v/>
      </c>
      <c r="N251" s="13">
        <f>MAX(0,N250+(B251-C251-0.5*D251))</f>
        <v/>
      </c>
      <c r="O251" s="13">
        <f>MIN(0,O250+(B251-C251+0.5*D251))</f>
        <v/>
      </c>
      <c r="P251">
        <f>IF(ABS(G251)&gt;1,P250+1,0)</f>
        <v/>
      </c>
      <c r="Q251">
        <f>IFS(OR(ABS(G251)&gt;3,N251&gt;5*D251,ABS(O251)&gt;5*D251,P251&gt;=5),"CRITICAL",OR(ABS(G251)&gt;2,P251&gt;=3,ABS(J251)&gt;3.5),"EARLY WARNING",ABS(G251)&gt;1,"WATCH",TRUE,"NORMAL")</f>
        <v/>
      </c>
    </row>
    <row r="252">
      <c r="A252" s="12" t="n">
        <v>45277</v>
      </c>
      <c r="B252" s="13">
        <f>Raw_Data!B252</f>
        <v/>
      </c>
      <c r="C252" s="13">
        <f>AVERAGE(B223:B252)</f>
        <v/>
      </c>
      <c r="D252" s="13">
        <f>STDEV.S(B223:B252)</f>
        <v/>
      </c>
      <c r="E252" s="13">
        <f>C252+3*D252</f>
        <v/>
      </c>
      <c r="F252" s="13">
        <f>C252-3*D252</f>
        <v/>
      </c>
      <c r="G252" s="15">
        <f>IF(D252=0,"",(B252-C252)/D252)</f>
        <v/>
      </c>
      <c r="H252" s="13">
        <f>MEDIAN(B223:B252)</f>
        <v/>
      </c>
      <c r="I252" s="13">
        <f>MEDIAN(ABS(B223:B252-H252))</f>
        <v/>
      </c>
      <c r="J252" s="15">
        <f>IF(I252=0,"",0.6745*(B252-H252)/I252)</f>
        <v/>
      </c>
      <c r="K252" s="13">
        <f>0.2*B252+0.8*K251</f>
        <v/>
      </c>
      <c r="L252" s="13">
        <f>C252+3*D252*SQRT(0.2/(2-0.2))</f>
        <v/>
      </c>
      <c r="M252" s="13">
        <f>C252-3*D252*SQRT(0.2/(2-0.2))</f>
        <v/>
      </c>
      <c r="N252" s="13">
        <f>MAX(0,N251+(B252-C252-0.5*D252))</f>
        <v/>
      </c>
      <c r="O252" s="13">
        <f>MIN(0,O251+(B252-C252+0.5*D252))</f>
        <v/>
      </c>
      <c r="P252">
        <f>IF(ABS(G252)&gt;1,P251+1,0)</f>
        <v/>
      </c>
      <c r="Q252">
        <f>IFS(OR(ABS(G252)&gt;3,N252&gt;5*D252,ABS(O252)&gt;5*D252,P252&gt;=5),"CRITICAL",OR(ABS(G252)&gt;2,P252&gt;=3,ABS(J252)&gt;3.5),"EARLY WARNING",ABS(G252)&gt;1,"WATCH",TRUE,"NORMAL")</f>
        <v/>
      </c>
    </row>
    <row r="253">
      <c r="A253" s="12" t="n">
        <v>45278</v>
      </c>
      <c r="B253" s="13">
        <f>Raw_Data!B253</f>
        <v/>
      </c>
      <c r="C253" s="13">
        <f>AVERAGE(B224:B253)</f>
        <v/>
      </c>
      <c r="D253" s="13">
        <f>STDEV.S(B224:B253)</f>
        <v/>
      </c>
      <c r="E253" s="13">
        <f>C253+3*D253</f>
        <v/>
      </c>
      <c r="F253" s="13">
        <f>C253-3*D253</f>
        <v/>
      </c>
      <c r="G253" s="15">
        <f>IF(D253=0,"",(B253-C253)/D253)</f>
        <v/>
      </c>
      <c r="H253" s="13">
        <f>MEDIAN(B224:B253)</f>
        <v/>
      </c>
      <c r="I253" s="13">
        <f>MEDIAN(ABS(B224:B253-H253))</f>
        <v/>
      </c>
      <c r="J253" s="15">
        <f>IF(I253=0,"",0.6745*(B253-H253)/I253)</f>
        <v/>
      </c>
      <c r="K253" s="13">
        <f>0.2*B253+0.8*K252</f>
        <v/>
      </c>
      <c r="L253" s="13">
        <f>C253+3*D253*SQRT(0.2/(2-0.2))</f>
        <v/>
      </c>
      <c r="M253" s="13">
        <f>C253-3*D253*SQRT(0.2/(2-0.2))</f>
        <v/>
      </c>
      <c r="N253" s="13">
        <f>MAX(0,N252+(B253-C253-0.5*D253))</f>
        <v/>
      </c>
      <c r="O253" s="13">
        <f>MIN(0,O252+(B253-C253+0.5*D253))</f>
        <v/>
      </c>
      <c r="P253">
        <f>IF(ABS(G253)&gt;1,P252+1,0)</f>
        <v/>
      </c>
      <c r="Q253">
        <f>IFS(OR(ABS(G253)&gt;3,N253&gt;5*D253,ABS(O253)&gt;5*D253,P253&gt;=5),"CRITICAL",OR(ABS(G253)&gt;2,P253&gt;=3,ABS(J253)&gt;3.5),"EARLY WARNING",ABS(G253)&gt;1,"WATCH",TRUE,"NORMAL")</f>
        <v/>
      </c>
    </row>
    <row r="254">
      <c r="A254" s="12" t="n">
        <v>45279</v>
      </c>
      <c r="B254" s="13">
        <f>Raw_Data!B254</f>
        <v/>
      </c>
      <c r="C254" s="13">
        <f>AVERAGE(B225:B254)</f>
        <v/>
      </c>
      <c r="D254" s="13">
        <f>STDEV.S(B225:B254)</f>
        <v/>
      </c>
      <c r="E254" s="13">
        <f>C254+3*D254</f>
        <v/>
      </c>
      <c r="F254" s="13">
        <f>C254-3*D254</f>
        <v/>
      </c>
      <c r="G254" s="15">
        <f>IF(D254=0,"",(B254-C254)/D254)</f>
        <v/>
      </c>
      <c r="H254" s="13">
        <f>MEDIAN(B225:B254)</f>
        <v/>
      </c>
      <c r="I254" s="13">
        <f>MEDIAN(ABS(B225:B254-H254))</f>
        <v/>
      </c>
      <c r="J254" s="15">
        <f>IF(I254=0,"",0.6745*(B254-H254)/I254)</f>
        <v/>
      </c>
      <c r="K254" s="13">
        <f>0.2*B254+0.8*K253</f>
        <v/>
      </c>
      <c r="L254" s="13">
        <f>C254+3*D254*SQRT(0.2/(2-0.2))</f>
        <v/>
      </c>
      <c r="M254" s="13">
        <f>C254-3*D254*SQRT(0.2/(2-0.2))</f>
        <v/>
      </c>
      <c r="N254" s="13">
        <f>MAX(0,N253+(B254-C254-0.5*D254))</f>
        <v/>
      </c>
      <c r="O254" s="13">
        <f>MIN(0,O253+(B254-C254+0.5*D254))</f>
        <v/>
      </c>
      <c r="P254">
        <f>IF(ABS(G254)&gt;1,P253+1,0)</f>
        <v/>
      </c>
      <c r="Q254">
        <f>IFS(OR(ABS(G254)&gt;3,N254&gt;5*D254,ABS(O254)&gt;5*D254,P254&gt;=5),"CRITICAL",OR(ABS(G254)&gt;2,P254&gt;=3,ABS(J254)&gt;3.5),"EARLY WARNING",ABS(G254)&gt;1,"WATCH",TRUE,"NORMAL")</f>
        <v/>
      </c>
    </row>
    <row r="255">
      <c r="A255" s="12" t="n">
        <v>45280</v>
      </c>
      <c r="B255" s="13">
        <f>Raw_Data!B255</f>
        <v/>
      </c>
      <c r="C255" s="13">
        <f>AVERAGE(B226:B255)</f>
        <v/>
      </c>
      <c r="D255" s="13">
        <f>STDEV.S(B226:B255)</f>
        <v/>
      </c>
      <c r="E255" s="13">
        <f>C255+3*D255</f>
        <v/>
      </c>
      <c r="F255" s="13">
        <f>C255-3*D255</f>
        <v/>
      </c>
      <c r="G255" s="15">
        <f>IF(D255=0,"",(B255-C255)/D255)</f>
        <v/>
      </c>
      <c r="H255" s="13">
        <f>MEDIAN(B226:B255)</f>
        <v/>
      </c>
      <c r="I255" s="13">
        <f>MEDIAN(ABS(B226:B255-H255))</f>
        <v/>
      </c>
      <c r="J255" s="15">
        <f>IF(I255=0,"",0.6745*(B255-H255)/I255)</f>
        <v/>
      </c>
      <c r="K255" s="13">
        <f>0.2*B255+0.8*K254</f>
        <v/>
      </c>
      <c r="L255" s="13">
        <f>C255+3*D255*SQRT(0.2/(2-0.2))</f>
        <v/>
      </c>
      <c r="M255" s="13">
        <f>C255-3*D255*SQRT(0.2/(2-0.2))</f>
        <v/>
      </c>
      <c r="N255" s="13">
        <f>MAX(0,N254+(B255-C255-0.5*D255))</f>
        <v/>
      </c>
      <c r="O255" s="13">
        <f>MIN(0,O254+(B255-C255+0.5*D255))</f>
        <v/>
      </c>
      <c r="P255">
        <f>IF(ABS(G255)&gt;1,P254+1,0)</f>
        <v/>
      </c>
      <c r="Q255">
        <f>IFS(OR(ABS(G255)&gt;3,N255&gt;5*D255,ABS(O255)&gt;5*D255,P255&gt;=5),"CRITICAL",OR(ABS(G255)&gt;2,P255&gt;=3,ABS(J255)&gt;3.5),"EARLY WARNING",ABS(G255)&gt;1,"WATCH",TRUE,"NORMAL")</f>
        <v/>
      </c>
    </row>
    <row r="256">
      <c r="A256" s="12" t="n">
        <v>45281</v>
      </c>
      <c r="B256" s="13">
        <f>Raw_Data!B256</f>
        <v/>
      </c>
      <c r="C256" s="13">
        <f>AVERAGE(B227:B256)</f>
        <v/>
      </c>
      <c r="D256" s="13">
        <f>STDEV.S(B227:B256)</f>
        <v/>
      </c>
      <c r="E256" s="13">
        <f>C256+3*D256</f>
        <v/>
      </c>
      <c r="F256" s="13">
        <f>C256-3*D256</f>
        <v/>
      </c>
      <c r="G256" s="15">
        <f>IF(D256=0,"",(B256-C256)/D256)</f>
        <v/>
      </c>
      <c r="H256" s="13">
        <f>MEDIAN(B227:B256)</f>
        <v/>
      </c>
      <c r="I256" s="13">
        <f>MEDIAN(ABS(B227:B256-H256))</f>
        <v/>
      </c>
      <c r="J256" s="15">
        <f>IF(I256=0,"",0.6745*(B256-H256)/I256)</f>
        <v/>
      </c>
      <c r="K256" s="13">
        <f>0.2*B256+0.8*K255</f>
        <v/>
      </c>
      <c r="L256" s="13">
        <f>C256+3*D256*SQRT(0.2/(2-0.2))</f>
        <v/>
      </c>
      <c r="M256" s="13">
        <f>C256-3*D256*SQRT(0.2/(2-0.2))</f>
        <v/>
      </c>
      <c r="N256" s="13">
        <f>MAX(0,N255+(B256-C256-0.5*D256))</f>
        <v/>
      </c>
      <c r="O256" s="13">
        <f>MIN(0,O255+(B256-C256+0.5*D256))</f>
        <v/>
      </c>
      <c r="P256">
        <f>IF(ABS(G256)&gt;1,P255+1,0)</f>
        <v/>
      </c>
      <c r="Q256">
        <f>IFS(OR(ABS(G256)&gt;3,N256&gt;5*D256,ABS(O256)&gt;5*D256,P256&gt;=5),"CRITICAL",OR(ABS(G256)&gt;2,P256&gt;=3,ABS(J256)&gt;3.5),"EARLY WARNING",ABS(G256)&gt;1,"WATCH",TRUE,"NORMAL")</f>
        <v/>
      </c>
    </row>
    <row r="257">
      <c r="A257" s="12" t="n">
        <v>45282</v>
      </c>
      <c r="B257" s="13">
        <f>Raw_Data!B257</f>
        <v/>
      </c>
      <c r="C257" s="13">
        <f>AVERAGE(B228:B257)</f>
        <v/>
      </c>
      <c r="D257" s="13">
        <f>STDEV.S(B228:B257)</f>
        <v/>
      </c>
      <c r="E257" s="13">
        <f>C257+3*D257</f>
        <v/>
      </c>
      <c r="F257" s="13">
        <f>C257-3*D257</f>
        <v/>
      </c>
      <c r="G257" s="15">
        <f>IF(D257=0,"",(B257-C257)/D257)</f>
        <v/>
      </c>
      <c r="H257" s="13">
        <f>MEDIAN(B228:B257)</f>
        <v/>
      </c>
      <c r="I257" s="13">
        <f>MEDIAN(ABS(B228:B257-H257))</f>
        <v/>
      </c>
      <c r="J257" s="15">
        <f>IF(I257=0,"",0.6745*(B257-H257)/I257)</f>
        <v/>
      </c>
      <c r="K257" s="13">
        <f>0.2*B257+0.8*K256</f>
        <v/>
      </c>
      <c r="L257" s="13">
        <f>C257+3*D257*SQRT(0.2/(2-0.2))</f>
        <v/>
      </c>
      <c r="M257" s="13">
        <f>C257-3*D257*SQRT(0.2/(2-0.2))</f>
        <v/>
      </c>
      <c r="N257" s="13">
        <f>MAX(0,N256+(B257-C257-0.5*D257))</f>
        <v/>
      </c>
      <c r="O257" s="13">
        <f>MIN(0,O256+(B257-C257+0.5*D257))</f>
        <v/>
      </c>
      <c r="P257">
        <f>IF(ABS(G257)&gt;1,P256+1,0)</f>
        <v/>
      </c>
      <c r="Q257">
        <f>IFS(OR(ABS(G257)&gt;3,N257&gt;5*D257,ABS(O257)&gt;5*D257,P257&gt;=5),"CRITICAL",OR(ABS(G257)&gt;2,P257&gt;=3,ABS(J257)&gt;3.5),"EARLY WARNING",ABS(G257)&gt;1,"WATCH",TRUE,"NORMAL")</f>
        <v/>
      </c>
    </row>
    <row r="258">
      <c r="A258" s="12" t="n">
        <v>45283</v>
      </c>
      <c r="B258" s="13">
        <f>Raw_Data!B258</f>
        <v/>
      </c>
      <c r="C258" s="13">
        <f>AVERAGE(B229:B258)</f>
        <v/>
      </c>
      <c r="D258" s="13">
        <f>STDEV.S(B229:B258)</f>
        <v/>
      </c>
      <c r="E258" s="13">
        <f>C258+3*D258</f>
        <v/>
      </c>
      <c r="F258" s="13">
        <f>C258-3*D258</f>
        <v/>
      </c>
      <c r="G258" s="15">
        <f>IF(D258=0,"",(B258-C258)/D258)</f>
        <v/>
      </c>
      <c r="H258" s="13">
        <f>MEDIAN(B229:B258)</f>
        <v/>
      </c>
      <c r="I258" s="13">
        <f>MEDIAN(ABS(B229:B258-H258))</f>
        <v/>
      </c>
      <c r="J258" s="15">
        <f>IF(I258=0,"",0.6745*(B258-H258)/I258)</f>
        <v/>
      </c>
      <c r="K258" s="13">
        <f>0.2*B258+0.8*K257</f>
        <v/>
      </c>
      <c r="L258" s="13">
        <f>C258+3*D258*SQRT(0.2/(2-0.2))</f>
        <v/>
      </c>
      <c r="M258" s="13">
        <f>C258-3*D258*SQRT(0.2/(2-0.2))</f>
        <v/>
      </c>
      <c r="N258" s="13">
        <f>MAX(0,N257+(B258-C258-0.5*D258))</f>
        <v/>
      </c>
      <c r="O258" s="13">
        <f>MIN(0,O257+(B258-C258+0.5*D258))</f>
        <v/>
      </c>
      <c r="P258">
        <f>IF(ABS(G258)&gt;1,P257+1,0)</f>
        <v/>
      </c>
      <c r="Q258">
        <f>IFS(OR(ABS(G258)&gt;3,N258&gt;5*D258,ABS(O258)&gt;5*D258,P258&gt;=5),"CRITICAL",OR(ABS(G258)&gt;2,P258&gt;=3,ABS(J258)&gt;3.5),"EARLY WARNING",ABS(G258)&gt;1,"WATCH",TRUE,"NORMAL")</f>
        <v/>
      </c>
    </row>
    <row r="259">
      <c r="A259" s="12" t="n">
        <v>45284</v>
      </c>
      <c r="B259" s="13">
        <f>Raw_Data!B259</f>
        <v/>
      </c>
      <c r="C259" s="13">
        <f>AVERAGE(B230:B259)</f>
        <v/>
      </c>
      <c r="D259" s="13">
        <f>STDEV.S(B230:B259)</f>
        <v/>
      </c>
      <c r="E259" s="13">
        <f>C259+3*D259</f>
        <v/>
      </c>
      <c r="F259" s="13">
        <f>C259-3*D259</f>
        <v/>
      </c>
      <c r="G259" s="15">
        <f>IF(D259=0,"",(B259-C259)/D259)</f>
        <v/>
      </c>
      <c r="H259" s="13">
        <f>MEDIAN(B230:B259)</f>
        <v/>
      </c>
      <c r="I259" s="13">
        <f>MEDIAN(ABS(B230:B259-H259))</f>
        <v/>
      </c>
      <c r="J259" s="15">
        <f>IF(I259=0,"",0.6745*(B259-H259)/I259)</f>
        <v/>
      </c>
      <c r="K259" s="13">
        <f>0.2*B259+0.8*K258</f>
        <v/>
      </c>
      <c r="L259" s="13">
        <f>C259+3*D259*SQRT(0.2/(2-0.2))</f>
        <v/>
      </c>
      <c r="M259" s="13">
        <f>C259-3*D259*SQRT(0.2/(2-0.2))</f>
        <v/>
      </c>
      <c r="N259" s="13">
        <f>MAX(0,N258+(B259-C259-0.5*D259))</f>
        <v/>
      </c>
      <c r="O259" s="13">
        <f>MIN(0,O258+(B259-C259+0.5*D259))</f>
        <v/>
      </c>
      <c r="P259">
        <f>IF(ABS(G259)&gt;1,P258+1,0)</f>
        <v/>
      </c>
      <c r="Q259">
        <f>IFS(OR(ABS(G259)&gt;3,N259&gt;5*D259,ABS(O259)&gt;5*D259,P259&gt;=5),"CRITICAL",OR(ABS(G259)&gt;2,P259&gt;=3,ABS(J259)&gt;3.5),"EARLY WARNING",ABS(G259)&gt;1,"WATCH",TRUE,"NORMAL")</f>
        <v/>
      </c>
    </row>
    <row r="260">
      <c r="A260" s="12" t="n">
        <v>45285</v>
      </c>
      <c r="B260" s="13">
        <f>Raw_Data!B260</f>
        <v/>
      </c>
      <c r="C260" s="13">
        <f>AVERAGE(B231:B260)</f>
        <v/>
      </c>
      <c r="D260" s="13">
        <f>STDEV.S(B231:B260)</f>
        <v/>
      </c>
      <c r="E260" s="13">
        <f>C260+3*D260</f>
        <v/>
      </c>
      <c r="F260" s="13">
        <f>C260-3*D260</f>
        <v/>
      </c>
      <c r="G260" s="15">
        <f>IF(D260=0,"",(B260-C260)/D260)</f>
        <v/>
      </c>
      <c r="H260" s="13">
        <f>MEDIAN(B231:B260)</f>
        <v/>
      </c>
      <c r="I260" s="13">
        <f>MEDIAN(ABS(B231:B260-H260))</f>
        <v/>
      </c>
      <c r="J260" s="15">
        <f>IF(I260=0,"",0.6745*(B260-H260)/I260)</f>
        <v/>
      </c>
      <c r="K260" s="13">
        <f>0.2*B260+0.8*K259</f>
        <v/>
      </c>
      <c r="L260" s="13">
        <f>C260+3*D260*SQRT(0.2/(2-0.2))</f>
        <v/>
      </c>
      <c r="M260" s="13">
        <f>C260-3*D260*SQRT(0.2/(2-0.2))</f>
        <v/>
      </c>
      <c r="N260" s="13">
        <f>MAX(0,N259+(B260-C260-0.5*D260))</f>
        <v/>
      </c>
      <c r="O260" s="13">
        <f>MIN(0,O259+(B260-C260+0.5*D260))</f>
        <v/>
      </c>
      <c r="P260">
        <f>IF(ABS(G260)&gt;1,P259+1,0)</f>
        <v/>
      </c>
      <c r="Q260">
        <f>IFS(OR(ABS(G260)&gt;3,N260&gt;5*D260,ABS(O260)&gt;5*D260,P260&gt;=5),"CRITICAL",OR(ABS(G260)&gt;2,P260&gt;=3,ABS(J260)&gt;3.5),"EARLY WARNING",ABS(G260)&gt;1,"WATCH",TRUE,"NORMAL")</f>
        <v/>
      </c>
    </row>
    <row r="261">
      <c r="A261" s="12" t="n">
        <v>45286</v>
      </c>
      <c r="B261" s="13">
        <f>Raw_Data!B261</f>
        <v/>
      </c>
      <c r="C261" s="13">
        <f>AVERAGE(B232:B261)</f>
        <v/>
      </c>
      <c r="D261" s="13">
        <f>STDEV.S(B232:B261)</f>
        <v/>
      </c>
      <c r="E261" s="13">
        <f>C261+3*D261</f>
        <v/>
      </c>
      <c r="F261" s="13">
        <f>C261-3*D261</f>
        <v/>
      </c>
      <c r="G261" s="15">
        <f>IF(D261=0,"",(B261-C261)/D261)</f>
        <v/>
      </c>
      <c r="H261" s="13">
        <f>MEDIAN(B232:B261)</f>
        <v/>
      </c>
      <c r="I261" s="13">
        <f>MEDIAN(ABS(B232:B261-H261))</f>
        <v/>
      </c>
      <c r="J261" s="15">
        <f>IF(I261=0,"",0.6745*(B261-H261)/I261)</f>
        <v/>
      </c>
      <c r="K261" s="13">
        <f>0.2*B261+0.8*K260</f>
        <v/>
      </c>
      <c r="L261" s="13">
        <f>C261+3*D261*SQRT(0.2/(2-0.2))</f>
        <v/>
      </c>
      <c r="M261" s="13">
        <f>C261-3*D261*SQRT(0.2/(2-0.2))</f>
        <v/>
      </c>
      <c r="N261" s="13">
        <f>MAX(0,N260+(B261-C261-0.5*D261))</f>
        <v/>
      </c>
      <c r="O261" s="13">
        <f>MIN(0,O260+(B261-C261+0.5*D261))</f>
        <v/>
      </c>
      <c r="P261">
        <f>IF(ABS(G261)&gt;1,P260+1,0)</f>
        <v/>
      </c>
      <c r="Q261">
        <f>IFS(OR(ABS(G261)&gt;3,N261&gt;5*D261,ABS(O261)&gt;5*D261,P261&gt;=5),"CRITICAL",OR(ABS(G261)&gt;2,P261&gt;=3,ABS(J261)&gt;3.5),"EARLY WARNING",ABS(G261)&gt;1,"WATCH",TRUE,"NORMAL")</f>
        <v/>
      </c>
    </row>
    <row r="262">
      <c r="A262" s="12" t="n">
        <v>45287</v>
      </c>
      <c r="B262" s="13">
        <f>Raw_Data!B262</f>
        <v/>
      </c>
      <c r="C262" s="13">
        <f>AVERAGE(B233:B262)</f>
        <v/>
      </c>
      <c r="D262" s="13">
        <f>STDEV.S(B233:B262)</f>
        <v/>
      </c>
      <c r="E262" s="13">
        <f>C262+3*D262</f>
        <v/>
      </c>
      <c r="F262" s="13">
        <f>C262-3*D262</f>
        <v/>
      </c>
      <c r="G262" s="15">
        <f>IF(D262=0,"",(B262-C262)/D262)</f>
        <v/>
      </c>
      <c r="H262" s="13">
        <f>MEDIAN(B233:B262)</f>
        <v/>
      </c>
      <c r="I262" s="13">
        <f>MEDIAN(ABS(B233:B262-H262))</f>
        <v/>
      </c>
      <c r="J262" s="15">
        <f>IF(I262=0,"",0.6745*(B262-H262)/I262)</f>
        <v/>
      </c>
      <c r="K262" s="13">
        <f>0.2*B262+0.8*K261</f>
        <v/>
      </c>
      <c r="L262" s="13">
        <f>C262+3*D262*SQRT(0.2/(2-0.2))</f>
        <v/>
      </c>
      <c r="M262" s="13">
        <f>C262-3*D262*SQRT(0.2/(2-0.2))</f>
        <v/>
      </c>
      <c r="N262" s="13">
        <f>MAX(0,N261+(B262-C262-0.5*D262))</f>
        <v/>
      </c>
      <c r="O262" s="13">
        <f>MIN(0,O261+(B262-C262+0.5*D262))</f>
        <v/>
      </c>
      <c r="P262">
        <f>IF(ABS(G262)&gt;1,P261+1,0)</f>
        <v/>
      </c>
      <c r="Q262">
        <f>IFS(OR(ABS(G262)&gt;3,N262&gt;5*D262,ABS(O262)&gt;5*D262,P262&gt;=5),"CRITICAL",OR(ABS(G262)&gt;2,P262&gt;=3,ABS(J262)&gt;3.5),"EARLY WARNING",ABS(G262)&gt;1,"WATCH",TRUE,"NORMAL")</f>
        <v/>
      </c>
    </row>
    <row r="263">
      <c r="A263" s="12" t="n">
        <v>45288</v>
      </c>
      <c r="B263" s="13">
        <f>Raw_Data!B263</f>
        <v/>
      </c>
      <c r="C263" s="13">
        <f>AVERAGE(B234:B263)</f>
        <v/>
      </c>
      <c r="D263" s="13">
        <f>STDEV.S(B234:B263)</f>
        <v/>
      </c>
      <c r="E263" s="13">
        <f>C263+3*D263</f>
        <v/>
      </c>
      <c r="F263" s="13">
        <f>C263-3*D263</f>
        <v/>
      </c>
      <c r="G263" s="15">
        <f>IF(D263=0,"",(B263-C263)/D263)</f>
        <v/>
      </c>
      <c r="H263" s="13">
        <f>MEDIAN(B234:B263)</f>
        <v/>
      </c>
      <c r="I263" s="13">
        <f>MEDIAN(ABS(B234:B263-H263))</f>
        <v/>
      </c>
      <c r="J263" s="15">
        <f>IF(I263=0,"",0.6745*(B263-H263)/I263)</f>
        <v/>
      </c>
      <c r="K263" s="13">
        <f>0.2*B263+0.8*K262</f>
        <v/>
      </c>
      <c r="L263" s="13">
        <f>C263+3*D263*SQRT(0.2/(2-0.2))</f>
        <v/>
      </c>
      <c r="M263" s="13">
        <f>C263-3*D263*SQRT(0.2/(2-0.2))</f>
        <v/>
      </c>
      <c r="N263" s="13">
        <f>MAX(0,N262+(B263-C263-0.5*D263))</f>
        <v/>
      </c>
      <c r="O263" s="13">
        <f>MIN(0,O262+(B263-C263+0.5*D263))</f>
        <v/>
      </c>
      <c r="P263">
        <f>IF(ABS(G263)&gt;1,P262+1,0)</f>
        <v/>
      </c>
      <c r="Q263">
        <f>IFS(OR(ABS(G263)&gt;3,N263&gt;5*D263,ABS(O263)&gt;5*D263,P263&gt;=5),"CRITICAL",OR(ABS(G263)&gt;2,P263&gt;=3,ABS(J263)&gt;3.5),"EARLY WARNING",ABS(G263)&gt;1,"WATCH",TRUE,"NORMAL")</f>
        <v/>
      </c>
    </row>
    <row r="264">
      <c r="A264" s="12" t="n">
        <v>45289</v>
      </c>
      <c r="B264" s="13">
        <f>Raw_Data!B264</f>
        <v/>
      </c>
      <c r="C264" s="13">
        <f>AVERAGE(B235:B264)</f>
        <v/>
      </c>
      <c r="D264" s="13">
        <f>STDEV.S(B235:B264)</f>
        <v/>
      </c>
      <c r="E264" s="13">
        <f>C264+3*D264</f>
        <v/>
      </c>
      <c r="F264" s="13">
        <f>C264-3*D264</f>
        <v/>
      </c>
      <c r="G264" s="15">
        <f>IF(D264=0,"",(B264-C264)/D264)</f>
        <v/>
      </c>
      <c r="H264" s="13">
        <f>MEDIAN(B235:B264)</f>
        <v/>
      </c>
      <c r="I264" s="13">
        <f>MEDIAN(ABS(B235:B264-H264))</f>
        <v/>
      </c>
      <c r="J264" s="15">
        <f>IF(I264=0,"",0.6745*(B264-H264)/I264)</f>
        <v/>
      </c>
      <c r="K264" s="13">
        <f>0.2*B264+0.8*K263</f>
        <v/>
      </c>
      <c r="L264" s="13">
        <f>C264+3*D264*SQRT(0.2/(2-0.2))</f>
        <v/>
      </c>
      <c r="M264" s="13">
        <f>C264-3*D264*SQRT(0.2/(2-0.2))</f>
        <v/>
      </c>
      <c r="N264" s="13">
        <f>MAX(0,N263+(B264-C264-0.5*D264))</f>
        <v/>
      </c>
      <c r="O264" s="13">
        <f>MIN(0,O263+(B264-C264+0.5*D264))</f>
        <v/>
      </c>
      <c r="P264">
        <f>IF(ABS(G264)&gt;1,P263+1,0)</f>
        <v/>
      </c>
      <c r="Q264">
        <f>IFS(OR(ABS(G264)&gt;3,N264&gt;5*D264,ABS(O264)&gt;5*D264,P264&gt;=5),"CRITICAL",OR(ABS(G264)&gt;2,P264&gt;=3,ABS(J264)&gt;3.5),"EARLY WARNING",ABS(G264)&gt;1,"WATCH",TRUE,"NORMAL")</f>
        <v/>
      </c>
    </row>
    <row r="265">
      <c r="A265" s="12" t="n">
        <v>45290</v>
      </c>
      <c r="B265" s="13">
        <f>Raw_Data!B265</f>
        <v/>
      </c>
      <c r="C265" s="13">
        <f>AVERAGE(B236:B265)</f>
        <v/>
      </c>
      <c r="D265" s="13">
        <f>STDEV.S(B236:B265)</f>
        <v/>
      </c>
      <c r="E265" s="13">
        <f>C265+3*D265</f>
        <v/>
      </c>
      <c r="F265" s="13">
        <f>C265-3*D265</f>
        <v/>
      </c>
      <c r="G265" s="15">
        <f>IF(D265=0,"",(B265-C265)/D265)</f>
        <v/>
      </c>
      <c r="H265" s="13">
        <f>MEDIAN(B236:B265)</f>
        <v/>
      </c>
      <c r="I265" s="13">
        <f>MEDIAN(ABS(B236:B265-H265))</f>
        <v/>
      </c>
      <c r="J265" s="15">
        <f>IF(I265=0,"",0.6745*(B265-H265)/I265)</f>
        <v/>
      </c>
      <c r="K265" s="13">
        <f>0.2*B265+0.8*K264</f>
        <v/>
      </c>
      <c r="L265" s="13">
        <f>C265+3*D265*SQRT(0.2/(2-0.2))</f>
        <v/>
      </c>
      <c r="M265" s="13">
        <f>C265-3*D265*SQRT(0.2/(2-0.2))</f>
        <v/>
      </c>
      <c r="N265" s="13">
        <f>MAX(0,N264+(B265-C265-0.5*D265))</f>
        <v/>
      </c>
      <c r="O265" s="13">
        <f>MIN(0,O264+(B265-C265+0.5*D265))</f>
        <v/>
      </c>
      <c r="P265">
        <f>IF(ABS(G265)&gt;1,P264+1,0)</f>
        <v/>
      </c>
      <c r="Q265">
        <f>IFS(OR(ABS(G265)&gt;3,N265&gt;5*D265,ABS(O265)&gt;5*D265,P265&gt;=5),"CRITICAL",OR(ABS(G265)&gt;2,P265&gt;=3,ABS(J265)&gt;3.5),"EARLY WARNING",ABS(G265)&gt;1,"WATCH",TRUE,"NORMAL")</f>
        <v/>
      </c>
    </row>
    <row r="266">
      <c r="A266" s="12" t="n">
        <v>45291</v>
      </c>
      <c r="B266" s="13">
        <f>Raw_Data!B266</f>
        <v/>
      </c>
      <c r="C266" s="13">
        <f>AVERAGE(B237:B266)</f>
        <v/>
      </c>
      <c r="D266" s="13">
        <f>STDEV.S(B237:B266)</f>
        <v/>
      </c>
      <c r="E266" s="13">
        <f>C266+3*D266</f>
        <v/>
      </c>
      <c r="F266" s="13">
        <f>C266-3*D266</f>
        <v/>
      </c>
      <c r="G266" s="15">
        <f>IF(D266=0,"",(B266-C266)/D266)</f>
        <v/>
      </c>
      <c r="H266" s="13">
        <f>MEDIAN(B237:B266)</f>
        <v/>
      </c>
      <c r="I266" s="13">
        <f>MEDIAN(ABS(B237:B266-H266))</f>
        <v/>
      </c>
      <c r="J266" s="15">
        <f>IF(I266=0,"",0.6745*(B266-H266)/I266)</f>
        <v/>
      </c>
      <c r="K266" s="13">
        <f>0.2*B266+0.8*K265</f>
        <v/>
      </c>
      <c r="L266" s="13">
        <f>C266+3*D266*SQRT(0.2/(2-0.2))</f>
        <v/>
      </c>
      <c r="M266" s="13">
        <f>C266-3*D266*SQRT(0.2/(2-0.2))</f>
        <v/>
      </c>
      <c r="N266" s="13">
        <f>MAX(0,N265+(B266-C266-0.5*D266))</f>
        <v/>
      </c>
      <c r="O266" s="13">
        <f>MIN(0,O265+(B266-C266+0.5*D266))</f>
        <v/>
      </c>
      <c r="P266">
        <f>IF(ABS(G266)&gt;1,P265+1,0)</f>
        <v/>
      </c>
      <c r="Q266">
        <f>IFS(OR(ABS(G266)&gt;3,N266&gt;5*D266,ABS(O266)&gt;5*D266,P266&gt;=5),"CRITICAL",OR(ABS(G266)&gt;2,P266&gt;=3,ABS(J266)&gt;3.5),"EARLY WARNING",ABS(G266)&gt;1,"WATCH",TRUE,"NORMAL")</f>
        <v/>
      </c>
    </row>
    <row r="267">
      <c r="A267" s="12" t="n">
        <v>45292</v>
      </c>
      <c r="B267" s="13">
        <f>Raw_Data!B267</f>
        <v/>
      </c>
      <c r="C267" s="13">
        <f>AVERAGE(B238:B267)</f>
        <v/>
      </c>
      <c r="D267" s="13">
        <f>STDEV.S(B238:B267)</f>
        <v/>
      </c>
      <c r="E267" s="13">
        <f>C267+3*D267</f>
        <v/>
      </c>
      <c r="F267" s="13">
        <f>C267-3*D267</f>
        <v/>
      </c>
      <c r="G267" s="15">
        <f>IF(D267=0,"",(B267-C267)/D267)</f>
        <v/>
      </c>
      <c r="H267" s="13">
        <f>MEDIAN(B238:B267)</f>
        <v/>
      </c>
      <c r="I267" s="13">
        <f>MEDIAN(ABS(B238:B267-H267))</f>
        <v/>
      </c>
      <c r="J267" s="15">
        <f>IF(I267=0,"",0.6745*(B267-H267)/I267)</f>
        <v/>
      </c>
      <c r="K267" s="13">
        <f>0.2*B267+0.8*K266</f>
        <v/>
      </c>
      <c r="L267" s="13">
        <f>C267+3*D267*SQRT(0.2/(2-0.2))</f>
        <v/>
      </c>
      <c r="M267" s="13">
        <f>C267-3*D267*SQRT(0.2/(2-0.2))</f>
        <v/>
      </c>
      <c r="N267" s="13">
        <f>MAX(0,N266+(B267-C267-0.5*D267))</f>
        <v/>
      </c>
      <c r="O267" s="13">
        <f>MIN(0,O266+(B267-C267+0.5*D267))</f>
        <v/>
      </c>
      <c r="P267">
        <f>IF(ABS(G267)&gt;1,P266+1,0)</f>
        <v/>
      </c>
      <c r="Q267">
        <f>IFS(OR(ABS(G267)&gt;3,N267&gt;5*D267,ABS(O267)&gt;5*D267,P267&gt;=5),"CRITICAL",OR(ABS(G267)&gt;2,P267&gt;=3,ABS(J267)&gt;3.5),"EARLY WARNING",ABS(G267)&gt;1,"WATCH",TRUE,"NORMAL")</f>
        <v/>
      </c>
    </row>
    <row r="268">
      <c r="A268" s="12" t="n">
        <v>45293</v>
      </c>
      <c r="B268" s="13">
        <f>Raw_Data!B268</f>
        <v/>
      </c>
      <c r="C268" s="13">
        <f>AVERAGE(B239:B268)</f>
        <v/>
      </c>
      <c r="D268" s="13">
        <f>STDEV.S(B239:B268)</f>
        <v/>
      </c>
      <c r="E268" s="13">
        <f>C268+3*D268</f>
        <v/>
      </c>
      <c r="F268" s="13">
        <f>C268-3*D268</f>
        <v/>
      </c>
      <c r="G268" s="15">
        <f>IF(D268=0,"",(B268-C268)/D268)</f>
        <v/>
      </c>
      <c r="H268" s="13">
        <f>MEDIAN(B239:B268)</f>
        <v/>
      </c>
      <c r="I268" s="13">
        <f>MEDIAN(ABS(B239:B268-H268))</f>
        <v/>
      </c>
      <c r="J268" s="15">
        <f>IF(I268=0,"",0.6745*(B268-H268)/I268)</f>
        <v/>
      </c>
      <c r="K268" s="13">
        <f>0.2*B268+0.8*K267</f>
        <v/>
      </c>
      <c r="L268" s="13">
        <f>C268+3*D268*SQRT(0.2/(2-0.2))</f>
        <v/>
      </c>
      <c r="M268" s="13">
        <f>C268-3*D268*SQRT(0.2/(2-0.2))</f>
        <v/>
      </c>
      <c r="N268" s="13">
        <f>MAX(0,N267+(B268-C268-0.5*D268))</f>
        <v/>
      </c>
      <c r="O268" s="13">
        <f>MIN(0,O267+(B268-C268+0.5*D268))</f>
        <v/>
      </c>
      <c r="P268">
        <f>IF(ABS(G268)&gt;1,P267+1,0)</f>
        <v/>
      </c>
      <c r="Q268">
        <f>IFS(OR(ABS(G268)&gt;3,N268&gt;5*D268,ABS(O268)&gt;5*D268,P268&gt;=5),"CRITICAL",OR(ABS(G268)&gt;2,P268&gt;=3,ABS(J268)&gt;3.5),"EARLY WARNING",ABS(G268)&gt;1,"WATCH",TRUE,"NORMAL")</f>
        <v/>
      </c>
    </row>
    <row r="269">
      <c r="A269" s="12" t="n">
        <v>45294</v>
      </c>
      <c r="B269" s="13">
        <f>Raw_Data!B269</f>
        <v/>
      </c>
      <c r="C269" s="13">
        <f>AVERAGE(B240:B269)</f>
        <v/>
      </c>
      <c r="D269" s="13">
        <f>STDEV.S(B240:B269)</f>
        <v/>
      </c>
      <c r="E269" s="13">
        <f>C269+3*D269</f>
        <v/>
      </c>
      <c r="F269" s="13">
        <f>C269-3*D269</f>
        <v/>
      </c>
      <c r="G269" s="15">
        <f>IF(D269=0,"",(B269-C269)/D269)</f>
        <v/>
      </c>
      <c r="H269" s="13">
        <f>MEDIAN(B240:B269)</f>
        <v/>
      </c>
      <c r="I269" s="13">
        <f>MEDIAN(ABS(B240:B269-H269))</f>
        <v/>
      </c>
      <c r="J269" s="15">
        <f>IF(I269=0,"",0.6745*(B269-H269)/I269)</f>
        <v/>
      </c>
      <c r="K269" s="13">
        <f>0.2*B269+0.8*K268</f>
        <v/>
      </c>
      <c r="L269" s="13">
        <f>C269+3*D269*SQRT(0.2/(2-0.2))</f>
        <v/>
      </c>
      <c r="M269" s="13">
        <f>C269-3*D269*SQRT(0.2/(2-0.2))</f>
        <v/>
      </c>
      <c r="N269" s="13">
        <f>MAX(0,N268+(B269-C269-0.5*D269))</f>
        <v/>
      </c>
      <c r="O269" s="13">
        <f>MIN(0,O268+(B269-C269+0.5*D269))</f>
        <v/>
      </c>
      <c r="P269">
        <f>IF(ABS(G269)&gt;1,P268+1,0)</f>
        <v/>
      </c>
      <c r="Q269">
        <f>IFS(OR(ABS(G269)&gt;3,N269&gt;5*D269,ABS(O269)&gt;5*D269,P269&gt;=5),"CRITICAL",OR(ABS(G269)&gt;2,P269&gt;=3,ABS(J269)&gt;3.5),"EARLY WARNING",ABS(G269)&gt;1,"WATCH",TRUE,"NORMAL")</f>
        <v/>
      </c>
    </row>
    <row r="270">
      <c r="A270" s="12" t="n">
        <v>45295</v>
      </c>
      <c r="B270" s="13">
        <f>Raw_Data!B270</f>
        <v/>
      </c>
      <c r="C270" s="13">
        <f>AVERAGE(B241:B270)</f>
        <v/>
      </c>
      <c r="D270" s="13">
        <f>STDEV.S(B241:B270)</f>
        <v/>
      </c>
      <c r="E270" s="13">
        <f>C270+3*D270</f>
        <v/>
      </c>
      <c r="F270" s="13">
        <f>C270-3*D270</f>
        <v/>
      </c>
      <c r="G270" s="15">
        <f>IF(D270=0,"",(B270-C270)/D270)</f>
        <v/>
      </c>
      <c r="H270" s="13">
        <f>MEDIAN(B241:B270)</f>
        <v/>
      </c>
      <c r="I270" s="13">
        <f>MEDIAN(ABS(B241:B270-H270))</f>
        <v/>
      </c>
      <c r="J270" s="15">
        <f>IF(I270=0,"",0.6745*(B270-H270)/I270)</f>
        <v/>
      </c>
      <c r="K270" s="13">
        <f>0.2*B270+0.8*K269</f>
        <v/>
      </c>
      <c r="L270" s="13">
        <f>C270+3*D270*SQRT(0.2/(2-0.2))</f>
        <v/>
      </c>
      <c r="M270" s="13">
        <f>C270-3*D270*SQRT(0.2/(2-0.2))</f>
        <v/>
      </c>
      <c r="N270" s="13">
        <f>MAX(0,N269+(B270-C270-0.5*D270))</f>
        <v/>
      </c>
      <c r="O270" s="13">
        <f>MIN(0,O269+(B270-C270+0.5*D270))</f>
        <v/>
      </c>
      <c r="P270">
        <f>IF(ABS(G270)&gt;1,P269+1,0)</f>
        <v/>
      </c>
      <c r="Q270">
        <f>IFS(OR(ABS(G270)&gt;3,N270&gt;5*D270,ABS(O270)&gt;5*D270,P270&gt;=5),"CRITICAL",OR(ABS(G270)&gt;2,P270&gt;=3,ABS(J270)&gt;3.5),"EARLY WARNING",ABS(G270)&gt;1,"WATCH",TRUE,"NORMAL")</f>
        <v/>
      </c>
    </row>
    <row r="271">
      <c r="A271" s="12" t="n">
        <v>45296</v>
      </c>
      <c r="B271" s="13">
        <f>Raw_Data!B271</f>
        <v/>
      </c>
      <c r="C271" s="13">
        <f>AVERAGE(B242:B271)</f>
        <v/>
      </c>
      <c r="D271" s="13">
        <f>STDEV.S(B242:B271)</f>
        <v/>
      </c>
      <c r="E271" s="13">
        <f>C271+3*D271</f>
        <v/>
      </c>
      <c r="F271" s="13">
        <f>C271-3*D271</f>
        <v/>
      </c>
      <c r="G271" s="15">
        <f>IF(D271=0,"",(B271-C271)/D271)</f>
        <v/>
      </c>
      <c r="H271" s="13">
        <f>MEDIAN(B242:B271)</f>
        <v/>
      </c>
      <c r="I271" s="13">
        <f>MEDIAN(ABS(B242:B271-H271))</f>
        <v/>
      </c>
      <c r="J271" s="15">
        <f>IF(I271=0,"",0.6745*(B271-H271)/I271)</f>
        <v/>
      </c>
      <c r="K271" s="13">
        <f>0.2*B271+0.8*K270</f>
        <v/>
      </c>
      <c r="L271" s="13">
        <f>C271+3*D271*SQRT(0.2/(2-0.2))</f>
        <v/>
      </c>
      <c r="M271" s="13">
        <f>C271-3*D271*SQRT(0.2/(2-0.2))</f>
        <v/>
      </c>
      <c r="N271" s="13">
        <f>MAX(0,N270+(B271-C271-0.5*D271))</f>
        <v/>
      </c>
      <c r="O271" s="13">
        <f>MIN(0,O270+(B271-C271+0.5*D271))</f>
        <v/>
      </c>
      <c r="P271">
        <f>IF(ABS(G271)&gt;1,P270+1,0)</f>
        <v/>
      </c>
      <c r="Q271">
        <f>IFS(OR(ABS(G271)&gt;3,N271&gt;5*D271,ABS(O271)&gt;5*D271,P271&gt;=5),"CRITICAL",OR(ABS(G271)&gt;2,P271&gt;=3,ABS(J271)&gt;3.5),"EARLY WARNING",ABS(G271)&gt;1,"WATCH",TRUE,"NORMAL")</f>
        <v/>
      </c>
    </row>
    <row r="272">
      <c r="A272" s="12" t="n">
        <v>45297</v>
      </c>
      <c r="B272" s="13">
        <f>Raw_Data!B272</f>
        <v/>
      </c>
      <c r="C272" s="13">
        <f>AVERAGE(B243:B272)</f>
        <v/>
      </c>
      <c r="D272" s="13">
        <f>STDEV.S(B243:B272)</f>
        <v/>
      </c>
      <c r="E272" s="13">
        <f>C272+3*D272</f>
        <v/>
      </c>
      <c r="F272" s="13">
        <f>C272-3*D272</f>
        <v/>
      </c>
      <c r="G272" s="15">
        <f>IF(D272=0,"",(B272-C272)/D272)</f>
        <v/>
      </c>
      <c r="H272" s="13">
        <f>MEDIAN(B243:B272)</f>
        <v/>
      </c>
      <c r="I272" s="13">
        <f>MEDIAN(ABS(B243:B272-H272))</f>
        <v/>
      </c>
      <c r="J272" s="15">
        <f>IF(I272=0,"",0.6745*(B272-H272)/I272)</f>
        <v/>
      </c>
      <c r="K272" s="13">
        <f>0.2*B272+0.8*K271</f>
        <v/>
      </c>
      <c r="L272" s="13">
        <f>C272+3*D272*SQRT(0.2/(2-0.2))</f>
        <v/>
      </c>
      <c r="M272" s="13">
        <f>C272-3*D272*SQRT(0.2/(2-0.2))</f>
        <v/>
      </c>
      <c r="N272" s="13">
        <f>MAX(0,N271+(B272-C272-0.5*D272))</f>
        <v/>
      </c>
      <c r="O272" s="13">
        <f>MIN(0,O271+(B272-C272+0.5*D272))</f>
        <v/>
      </c>
      <c r="P272">
        <f>IF(ABS(G272)&gt;1,P271+1,0)</f>
        <v/>
      </c>
      <c r="Q272">
        <f>IFS(OR(ABS(G272)&gt;3,N272&gt;5*D272,ABS(O272)&gt;5*D272,P272&gt;=5),"CRITICAL",OR(ABS(G272)&gt;2,P272&gt;=3,ABS(J272)&gt;3.5),"EARLY WARNING",ABS(G272)&gt;1,"WATCH",TRUE,"NORMAL")</f>
        <v/>
      </c>
    </row>
    <row r="273">
      <c r="A273" s="12" t="n">
        <v>45298</v>
      </c>
      <c r="B273" s="13">
        <f>Raw_Data!B273</f>
        <v/>
      </c>
      <c r="C273" s="13">
        <f>AVERAGE(B244:B273)</f>
        <v/>
      </c>
      <c r="D273" s="13">
        <f>STDEV.S(B244:B273)</f>
        <v/>
      </c>
      <c r="E273" s="13">
        <f>C273+3*D273</f>
        <v/>
      </c>
      <c r="F273" s="13">
        <f>C273-3*D273</f>
        <v/>
      </c>
      <c r="G273" s="15">
        <f>IF(D273=0,"",(B273-C273)/D273)</f>
        <v/>
      </c>
      <c r="H273" s="13">
        <f>MEDIAN(B244:B273)</f>
        <v/>
      </c>
      <c r="I273" s="13">
        <f>MEDIAN(ABS(B244:B273-H273))</f>
        <v/>
      </c>
      <c r="J273" s="15">
        <f>IF(I273=0,"",0.6745*(B273-H273)/I273)</f>
        <v/>
      </c>
      <c r="K273" s="13">
        <f>0.2*B273+0.8*K272</f>
        <v/>
      </c>
      <c r="L273" s="13">
        <f>C273+3*D273*SQRT(0.2/(2-0.2))</f>
        <v/>
      </c>
      <c r="M273" s="13">
        <f>C273-3*D273*SQRT(0.2/(2-0.2))</f>
        <v/>
      </c>
      <c r="N273" s="13">
        <f>MAX(0,N272+(B273-C273-0.5*D273))</f>
        <v/>
      </c>
      <c r="O273" s="13">
        <f>MIN(0,O272+(B273-C273+0.5*D273))</f>
        <v/>
      </c>
      <c r="P273">
        <f>IF(ABS(G273)&gt;1,P272+1,0)</f>
        <v/>
      </c>
      <c r="Q273">
        <f>IFS(OR(ABS(G273)&gt;3,N273&gt;5*D273,ABS(O273)&gt;5*D273,P273&gt;=5),"CRITICAL",OR(ABS(G273)&gt;2,P273&gt;=3,ABS(J273)&gt;3.5),"EARLY WARNING",ABS(G273)&gt;1,"WATCH",TRUE,"NORMAL")</f>
        <v/>
      </c>
    </row>
    <row r="274">
      <c r="A274" s="12" t="n">
        <v>45299</v>
      </c>
      <c r="B274" s="13">
        <f>Raw_Data!B274</f>
        <v/>
      </c>
      <c r="C274" s="13">
        <f>AVERAGE(B245:B274)</f>
        <v/>
      </c>
      <c r="D274" s="13">
        <f>STDEV.S(B245:B274)</f>
        <v/>
      </c>
      <c r="E274" s="13">
        <f>C274+3*D274</f>
        <v/>
      </c>
      <c r="F274" s="13">
        <f>C274-3*D274</f>
        <v/>
      </c>
      <c r="G274" s="15">
        <f>IF(D274=0,"",(B274-C274)/D274)</f>
        <v/>
      </c>
      <c r="H274" s="13">
        <f>MEDIAN(B245:B274)</f>
        <v/>
      </c>
      <c r="I274" s="13">
        <f>MEDIAN(ABS(B245:B274-H274))</f>
        <v/>
      </c>
      <c r="J274" s="15">
        <f>IF(I274=0,"",0.6745*(B274-H274)/I274)</f>
        <v/>
      </c>
      <c r="K274" s="13">
        <f>0.2*B274+0.8*K273</f>
        <v/>
      </c>
      <c r="L274" s="13">
        <f>C274+3*D274*SQRT(0.2/(2-0.2))</f>
        <v/>
      </c>
      <c r="M274" s="13">
        <f>C274-3*D274*SQRT(0.2/(2-0.2))</f>
        <v/>
      </c>
      <c r="N274" s="13">
        <f>MAX(0,N273+(B274-C274-0.5*D274))</f>
        <v/>
      </c>
      <c r="O274" s="13">
        <f>MIN(0,O273+(B274-C274+0.5*D274))</f>
        <v/>
      </c>
      <c r="P274">
        <f>IF(ABS(G274)&gt;1,P273+1,0)</f>
        <v/>
      </c>
      <c r="Q274">
        <f>IFS(OR(ABS(G274)&gt;3,N274&gt;5*D274,ABS(O274)&gt;5*D274,P274&gt;=5),"CRITICAL",OR(ABS(G274)&gt;2,P274&gt;=3,ABS(J274)&gt;3.5),"EARLY WARNING",ABS(G274)&gt;1,"WATCH",TRUE,"NORMAL")</f>
        <v/>
      </c>
    </row>
    <row r="275">
      <c r="A275" s="12" t="n">
        <v>45300</v>
      </c>
      <c r="B275" s="13">
        <f>Raw_Data!B275</f>
        <v/>
      </c>
      <c r="C275" s="13">
        <f>AVERAGE(B246:B275)</f>
        <v/>
      </c>
      <c r="D275" s="13">
        <f>STDEV.S(B246:B275)</f>
        <v/>
      </c>
      <c r="E275" s="13">
        <f>C275+3*D275</f>
        <v/>
      </c>
      <c r="F275" s="13">
        <f>C275-3*D275</f>
        <v/>
      </c>
      <c r="G275" s="15">
        <f>IF(D275=0,"",(B275-C275)/D275)</f>
        <v/>
      </c>
      <c r="H275" s="13">
        <f>MEDIAN(B246:B275)</f>
        <v/>
      </c>
      <c r="I275" s="13">
        <f>MEDIAN(ABS(B246:B275-H275))</f>
        <v/>
      </c>
      <c r="J275" s="15">
        <f>IF(I275=0,"",0.6745*(B275-H275)/I275)</f>
        <v/>
      </c>
      <c r="K275" s="13">
        <f>0.2*B275+0.8*K274</f>
        <v/>
      </c>
      <c r="L275" s="13">
        <f>C275+3*D275*SQRT(0.2/(2-0.2))</f>
        <v/>
      </c>
      <c r="M275" s="13">
        <f>C275-3*D275*SQRT(0.2/(2-0.2))</f>
        <v/>
      </c>
      <c r="N275" s="13">
        <f>MAX(0,N274+(B275-C275-0.5*D275))</f>
        <v/>
      </c>
      <c r="O275" s="13">
        <f>MIN(0,O274+(B275-C275+0.5*D275))</f>
        <v/>
      </c>
      <c r="P275">
        <f>IF(ABS(G275)&gt;1,P274+1,0)</f>
        <v/>
      </c>
      <c r="Q275">
        <f>IFS(OR(ABS(G275)&gt;3,N275&gt;5*D275,ABS(O275)&gt;5*D275,P275&gt;=5),"CRITICAL",OR(ABS(G275)&gt;2,P275&gt;=3,ABS(J275)&gt;3.5),"EARLY WARNING",ABS(G275)&gt;1,"WATCH",TRUE,"NORMAL")</f>
        <v/>
      </c>
    </row>
    <row r="276">
      <c r="A276" s="12" t="n">
        <v>45301</v>
      </c>
      <c r="B276" s="13">
        <f>Raw_Data!B276</f>
        <v/>
      </c>
      <c r="C276" s="13">
        <f>AVERAGE(B247:B276)</f>
        <v/>
      </c>
      <c r="D276" s="13">
        <f>STDEV.S(B247:B276)</f>
        <v/>
      </c>
      <c r="E276" s="13">
        <f>C276+3*D276</f>
        <v/>
      </c>
      <c r="F276" s="13">
        <f>C276-3*D276</f>
        <v/>
      </c>
      <c r="G276" s="15">
        <f>IF(D276=0,"",(B276-C276)/D276)</f>
        <v/>
      </c>
      <c r="H276" s="13">
        <f>MEDIAN(B247:B276)</f>
        <v/>
      </c>
      <c r="I276" s="13">
        <f>MEDIAN(ABS(B247:B276-H276))</f>
        <v/>
      </c>
      <c r="J276" s="15">
        <f>IF(I276=0,"",0.6745*(B276-H276)/I276)</f>
        <v/>
      </c>
      <c r="K276" s="13">
        <f>0.2*B276+0.8*K275</f>
        <v/>
      </c>
      <c r="L276" s="13">
        <f>C276+3*D276*SQRT(0.2/(2-0.2))</f>
        <v/>
      </c>
      <c r="M276" s="13">
        <f>C276-3*D276*SQRT(0.2/(2-0.2))</f>
        <v/>
      </c>
      <c r="N276" s="13">
        <f>MAX(0,N275+(B276-C276-0.5*D276))</f>
        <v/>
      </c>
      <c r="O276" s="13">
        <f>MIN(0,O275+(B276-C276+0.5*D276))</f>
        <v/>
      </c>
      <c r="P276">
        <f>IF(ABS(G276)&gt;1,P275+1,0)</f>
        <v/>
      </c>
      <c r="Q276">
        <f>IFS(OR(ABS(G276)&gt;3,N276&gt;5*D276,ABS(O276)&gt;5*D276,P276&gt;=5),"CRITICAL",OR(ABS(G276)&gt;2,P276&gt;=3,ABS(J276)&gt;3.5),"EARLY WARNING",ABS(G276)&gt;1,"WATCH",TRUE,"NORMAL")</f>
        <v/>
      </c>
    </row>
    <row r="277">
      <c r="A277" s="12" t="n">
        <v>45302</v>
      </c>
      <c r="B277" s="13">
        <f>Raw_Data!B277</f>
        <v/>
      </c>
      <c r="C277" s="13">
        <f>AVERAGE(B248:B277)</f>
        <v/>
      </c>
      <c r="D277" s="13">
        <f>STDEV.S(B248:B277)</f>
        <v/>
      </c>
      <c r="E277" s="13">
        <f>C277+3*D277</f>
        <v/>
      </c>
      <c r="F277" s="13">
        <f>C277-3*D277</f>
        <v/>
      </c>
      <c r="G277" s="15">
        <f>IF(D277=0,"",(B277-C277)/D277)</f>
        <v/>
      </c>
      <c r="H277" s="13">
        <f>MEDIAN(B248:B277)</f>
        <v/>
      </c>
      <c r="I277" s="13">
        <f>MEDIAN(ABS(B248:B277-H277))</f>
        <v/>
      </c>
      <c r="J277" s="15">
        <f>IF(I277=0,"",0.6745*(B277-H277)/I277)</f>
        <v/>
      </c>
      <c r="K277" s="13">
        <f>0.2*B277+0.8*K276</f>
        <v/>
      </c>
      <c r="L277" s="13">
        <f>C277+3*D277*SQRT(0.2/(2-0.2))</f>
        <v/>
      </c>
      <c r="M277" s="13">
        <f>C277-3*D277*SQRT(0.2/(2-0.2))</f>
        <v/>
      </c>
      <c r="N277" s="13">
        <f>MAX(0,N276+(B277-C277-0.5*D277))</f>
        <v/>
      </c>
      <c r="O277" s="13">
        <f>MIN(0,O276+(B277-C277+0.5*D277))</f>
        <v/>
      </c>
      <c r="P277">
        <f>IF(ABS(G277)&gt;1,P276+1,0)</f>
        <v/>
      </c>
      <c r="Q277">
        <f>IFS(OR(ABS(G277)&gt;3,N277&gt;5*D277,ABS(O277)&gt;5*D277,P277&gt;=5),"CRITICAL",OR(ABS(G277)&gt;2,P277&gt;=3,ABS(J277)&gt;3.5),"EARLY WARNING",ABS(G277)&gt;1,"WATCH",TRUE,"NORMAL")</f>
        <v/>
      </c>
    </row>
    <row r="278">
      <c r="A278" s="12" t="n">
        <v>45303</v>
      </c>
      <c r="B278" s="13">
        <f>Raw_Data!B278</f>
        <v/>
      </c>
      <c r="C278" s="13">
        <f>AVERAGE(B249:B278)</f>
        <v/>
      </c>
      <c r="D278" s="13">
        <f>STDEV.S(B249:B278)</f>
        <v/>
      </c>
      <c r="E278" s="13">
        <f>C278+3*D278</f>
        <v/>
      </c>
      <c r="F278" s="13">
        <f>C278-3*D278</f>
        <v/>
      </c>
      <c r="G278" s="15">
        <f>IF(D278=0,"",(B278-C278)/D278)</f>
        <v/>
      </c>
      <c r="H278" s="13">
        <f>MEDIAN(B249:B278)</f>
        <v/>
      </c>
      <c r="I278" s="13">
        <f>MEDIAN(ABS(B249:B278-H278))</f>
        <v/>
      </c>
      <c r="J278" s="15">
        <f>IF(I278=0,"",0.6745*(B278-H278)/I278)</f>
        <v/>
      </c>
      <c r="K278" s="13">
        <f>0.2*B278+0.8*K277</f>
        <v/>
      </c>
      <c r="L278" s="13">
        <f>C278+3*D278*SQRT(0.2/(2-0.2))</f>
        <v/>
      </c>
      <c r="M278" s="13">
        <f>C278-3*D278*SQRT(0.2/(2-0.2))</f>
        <v/>
      </c>
      <c r="N278" s="13">
        <f>MAX(0,N277+(B278-C278-0.5*D278))</f>
        <v/>
      </c>
      <c r="O278" s="13">
        <f>MIN(0,O277+(B278-C278+0.5*D278))</f>
        <v/>
      </c>
      <c r="P278">
        <f>IF(ABS(G278)&gt;1,P277+1,0)</f>
        <v/>
      </c>
      <c r="Q278">
        <f>IFS(OR(ABS(G278)&gt;3,N278&gt;5*D278,ABS(O278)&gt;5*D278,P278&gt;=5),"CRITICAL",OR(ABS(G278)&gt;2,P278&gt;=3,ABS(J278)&gt;3.5),"EARLY WARNING",ABS(G278)&gt;1,"WATCH",TRUE,"NORMAL")</f>
        <v/>
      </c>
    </row>
    <row r="279">
      <c r="A279" s="12" t="n">
        <v>45304</v>
      </c>
      <c r="B279" s="13">
        <f>Raw_Data!B279</f>
        <v/>
      </c>
      <c r="C279" s="13">
        <f>AVERAGE(B250:B279)</f>
        <v/>
      </c>
      <c r="D279" s="13">
        <f>STDEV.S(B250:B279)</f>
        <v/>
      </c>
      <c r="E279" s="13">
        <f>C279+3*D279</f>
        <v/>
      </c>
      <c r="F279" s="13">
        <f>C279-3*D279</f>
        <v/>
      </c>
      <c r="G279" s="15">
        <f>IF(D279=0,"",(B279-C279)/D279)</f>
        <v/>
      </c>
      <c r="H279" s="13">
        <f>MEDIAN(B250:B279)</f>
        <v/>
      </c>
      <c r="I279" s="13">
        <f>MEDIAN(ABS(B250:B279-H279))</f>
        <v/>
      </c>
      <c r="J279" s="15">
        <f>IF(I279=0,"",0.6745*(B279-H279)/I279)</f>
        <v/>
      </c>
      <c r="K279" s="13">
        <f>0.2*B279+0.8*K278</f>
        <v/>
      </c>
      <c r="L279" s="13">
        <f>C279+3*D279*SQRT(0.2/(2-0.2))</f>
        <v/>
      </c>
      <c r="M279" s="13">
        <f>C279-3*D279*SQRT(0.2/(2-0.2))</f>
        <v/>
      </c>
      <c r="N279" s="13">
        <f>MAX(0,N278+(B279-C279-0.5*D279))</f>
        <v/>
      </c>
      <c r="O279" s="13">
        <f>MIN(0,O278+(B279-C279+0.5*D279))</f>
        <v/>
      </c>
      <c r="P279">
        <f>IF(ABS(G279)&gt;1,P278+1,0)</f>
        <v/>
      </c>
      <c r="Q279">
        <f>IFS(OR(ABS(G279)&gt;3,N279&gt;5*D279,ABS(O279)&gt;5*D279,P279&gt;=5),"CRITICAL",OR(ABS(G279)&gt;2,P279&gt;=3,ABS(J279)&gt;3.5),"EARLY WARNING",ABS(G279)&gt;1,"WATCH",TRUE,"NORMAL")</f>
        <v/>
      </c>
    </row>
    <row r="280">
      <c r="A280" s="12" t="n">
        <v>45305</v>
      </c>
      <c r="B280" s="13">
        <f>Raw_Data!B280</f>
        <v/>
      </c>
      <c r="C280" s="13">
        <f>AVERAGE(B251:B280)</f>
        <v/>
      </c>
      <c r="D280" s="13">
        <f>STDEV.S(B251:B280)</f>
        <v/>
      </c>
      <c r="E280" s="13">
        <f>C280+3*D280</f>
        <v/>
      </c>
      <c r="F280" s="13">
        <f>C280-3*D280</f>
        <v/>
      </c>
      <c r="G280" s="15">
        <f>IF(D280=0,"",(B280-C280)/D280)</f>
        <v/>
      </c>
      <c r="H280" s="13">
        <f>MEDIAN(B251:B280)</f>
        <v/>
      </c>
      <c r="I280" s="13">
        <f>MEDIAN(ABS(B251:B280-H280))</f>
        <v/>
      </c>
      <c r="J280" s="15">
        <f>IF(I280=0,"",0.6745*(B280-H280)/I280)</f>
        <v/>
      </c>
      <c r="K280" s="13">
        <f>0.2*B280+0.8*K279</f>
        <v/>
      </c>
      <c r="L280" s="13">
        <f>C280+3*D280*SQRT(0.2/(2-0.2))</f>
        <v/>
      </c>
      <c r="M280" s="13">
        <f>C280-3*D280*SQRT(0.2/(2-0.2))</f>
        <v/>
      </c>
      <c r="N280" s="13">
        <f>MAX(0,N279+(B280-C280-0.5*D280))</f>
        <v/>
      </c>
      <c r="O280" s="13">
        <f>MIN(0,O279+(B280-C280+0.5*D280))</f>
        <v/>
      </c>
      <c r="P280">
        <f>IF(ABS(G280)&gt;1,P279+1,0)</f>
        <v/>
      </c>
      <c r="Q280">
        <f>IFS(OR(ABS(G280)&gt;3,N280&gt;5*D280,ABS(O280)&gt;5*D280,P280&gt;=5),"CRITICAL",OR(ABS(G280)&gt;2,P280&gt;=3,ABS(J280)&gt;3.5),"EARLY WARNING",ABS(G280)&gt;1,"WATCH",TRUE,"NORMAL")</f>
        <v/>
      </c>
    </row>
    <row r="281">
      <c r="A281" s="12" t="n">
        <v>45306</v>
      </c>
      <c r="B281" s="13">
        <f>Raw_Data!B281</f>
        <v/>
      </c>
      <c r="C281" s="13">
        <f>AVERAGE(B252:B281)</f>
        <v/>
      </c>
      <c r="D281" s="13">
        <f>STDEV.S(B252:B281)</f>
        <v/>
      </c>
      <c r="E281" s="13">
        <f>C281+3*D281</f>
        <v/>
      </c>
      <c r="F281" s="13">
        <f>C281-3*D281</f>
        <v/>
      </c>
      <c r="G281" s="15">
        <f>IF(D281=0,"",(B281-C281)/D281)</f>
        <v/>
      </c>
      <c r="H281" s="13">
        <f>MEDIAN(B252:B281)</f>
        <v/>
      </c>
      <c r="I281" s="13">
        <f>MEDIAN(ABS(B252:B281-H281))</f>
        <v/>
      </c>
      <c r="J281" s="15">
        <f>IF(I281=0,"",0.6745*(B281-H281)/I281)</f>
        <v/>
      </c>
      <c r="K281" s="13">
        <f>0.2*B281+0.8*K280</f>
        <v/>
      </c>
      <c r="L281" s="13">
        <f>C281+3*D281*SQRT(0.2/(2-0.2))</f>
        <v/>
      </c>
      <c r="M281" s="13">
        <f>C281-3*D281*SQRT(0.2/(2-0.2))</f>
        <v/>
      </c>
      <c r="N281" s="13">
        <f>MAX(0,N280+(B281-C281-0.5*D281))</f>
        <v/>
      </c>
      <c r="O281" s="13">
        <f>MIN(0,O280+(B281-C281+0.5*D281))</f>
        <v/>
      </c>
      <c r="P281">
        <f>IF(ABS(G281)&gt;1,P280+1,0)</f>
        <v/>
      </c>
      <c r="Q281">
        <f>IFS(OR(ABS(G281)&gt;3,N281&gt;5*D281,ABS(O281)&gt;5*D281,P281&gt;=5),"CRITICAL",OR(ABS(G281)&gt;2,P281&gt;=3,ABS(J281)&gt;3.5),"EARLY WARNING",ABS(G281)&gt;1,"WATCH",TRUE,"NORMAL")</f>
        <v/>
      </c>
    </row>
    <row r="282">
      <c r="A282" s="12" t="n">
        <v>45307</v>
      </c>
      <c r="B282" s="13">
        <f>Raw_Data!B282</f>
        <v/>
      </c>
      <c r="C282" s="13">
        <f>AVERAGE(B253:B282)</f>
        <v/>
      </c>
      <c r="D282" s="13">
        <f>STDEV.S(B253:B282)</f>
        <v/>
      </c>
      <c r="E282" s="13">
        <f>C282+3*D282</f>
        <v/>
      </c>
      <c r="F282" s="13">
        <f>C282-3*D282</f>
        <v/>
      </c>
      <c r="G282" s="15">
        <f>IF(D282=0,"",(B282-C282)/D282)</f>
        <v/>
      </c>
      <c r="H282" s="13">
        <f>MEDIAN(B253:B282)</f>
        <v/>
      </c>
      <c r="I282" s="13">
        <f>MEDIAN(ABS(B253:B282-H282))</f>
        <v/>
      </c>
      <c r="J282" s="15">
        <f>IF(I282=0,"",0.6745*(B282-H282)/I282)</f>
        <v/>
      </c>
      <c r="K282" s="13">
        <f>0.2*B282+0.8*K281</f>
        <v/>
      </c>
      <c r="L282" s="13">
        <f>C282+3*D282*SQRT(0.2/(2-0.2))</f>
        <v/>
      </c>
      <c r="M282" s="13">
        <f>C282-3*D282*SQRT(0.2/(2-0.2))</f>
        <v/>
      </c>
      <c r="N282" s="13">
        <f>MAX(0,N281+(B282-C282-0.5*D282))</f>
        <v/>
      </c>
      <c r="O282" s="13">
        <f>MIN(0,O281+(B282-C282+0.5*D282))</f>
        <v/>
      </c>
      <c r="P282">
        <f>IF(ABS(G282)&gt;1,P281+1,0)</f>
        <v/>
      </c>
      <c r="Q282">
        <f>IFS(OR(ABS(G282)&gt;3,N282&gt;5*D282,ABS(O282)&gt;5*D282,P282&gt;=5),"CRITICAL",OR(ABS(G282)&gt;2,P282&gt;=3,ABS(J282)&gt;3.5),"EARLY WARNING",ABS(G282)&gt;1,"WATCH",TRUE,"NORMAL")</f>
        <v/>
      </c>
    </row>
    <row r="283">
      <c r="A283" s="12" t="n">
        <v>45308</v>
      </c>
      <c r="B283" s="13">
        <f>Raw_Data!B283</f>
        <v/>
      </c>
      <c r="C283" s="13">
        <f>AVERAGE(B254:B283)</f>
        <v/>
      </c>
      <c r="D283" s="13">
        <f>STDEV.S(B254:B283)</f>
        <v/>
      </c>
      <c r="E283" s="13">
        <f>C283+3*D283</f>
        <v/>
      </c>
      <c r="F283" s="13">
        <f>C283-3*D283</f>
        <v/>
      </c>
      <c r="G283" s="15">
        <f>IF(D283=0,"",(B283-C283)/D283)</f>
        <v/>
      </c>
      <c r="H283" s="13">
        <f>MEDIAN(B254:B283)</f>
        <v/>
      </c>
      <c r="I283" s="13">
        <f>MEDIAN(ABS(B254:B283-H283))</f>
        <v/>
      </c>
      <c r="J283" s="15">
        <f>IF(I283=0,"",0.6745*(B283-H283)/I283)</f>
        <v/>
      </c>
      <c r="K283" s="13">
        <f>0.2*B283+0.8*K282</f>
        <v/>
      </c>
      <c r="L283" s="13">
        <f>C283+3*D283*SQRT(0.2/(2-0.2))</f>
        <v/>
      </c>
      <c r="M283" s="13">
        <f>C283-3*D283*SQRT(0.2/(2-0.2))</f>
        <v/>
      </c>
      <c r="N283" s="13">
        <f>MAX(0,N282+(B283-C283-0.5*D283))</f>
        <v/>
      </c>
      <c r="O283" s="13">
        <f>MIN(0,O282+(B283-C283+0.5*D283))</f>
        <v/>
      </c>
      <c r="P283">
        <f>IF(ABS(G283)&gt;1,P282+1,0)</f>
        <v/>
      </c>
      <c r="Q283">
        <f>IFS(OR(ABS(G283)&gt;3,N283&gt;5*D283,ABS(O283)&gt;5*D283,P283&gt;=5),"CRITICAL",OR(ABS(G283)&gt;2,P283&gt;=3,ABS(J283)&gt;3.5),"EARLY WARNING",ABS(G283)&gt;1,"WATCH",TRUE,"NORMAL")</f>
        <v/>
      </c>
    </row>
    <row r="284">
      <c r="A284" s="12" t="n">
        <v>45309</v>
      </c>
      <c r="B284" s="13">
        <f>Raw_Data!B284</f>
        <v/>
      </c>
      <c r="C284" s="13">
        <f>AVERAGE(B255:B284)</f>
        <v/>
      </c>
      <c r="D284" s="13">
        <f>STDEV.S(B255:B284)</f>
        <v/>
      </c>
      <c r="E284" s="13">
        <f>C284+3*D284</f>
        <v/>
      </c>
      <c r="F284" s="13">
        <f>C284-3*D284</f>
        <v/>
      </c>
      <c r="G284" s="15">
        <f>IF(D284=0,"",(B284-C284)/D284)</f>
        <v/>
      </c>
      <c r="H284" s="13">
        <f>MEDIAN(B255:B284)</f>
        <v/>
      </c>
      <c r="I284" s="13">
        <f>MEDIAN(ABS(B255:B284-H284))</f>
        <v/>
      </c>
      <c r="J284" s="15">
        <f>IF(I284=0,"",0.6745*(B284-H284)/I284)</f>
        <v/>
      </c>
      <c r="K284" s="13">
        <f>0.2*B284+0.8*K283</f>
        <v/>
      </c>
      <c r="L284" s="13">
        <f>C284+3*D284*SQRT(0.2/(2-0.2))</f>
        <v/>
      </c>
      <c r="M284" s="13">
        <f>C284-3*D284*SQRT(0.2/(2-0.2))</f>
        <v/>
      </c>
      <c r="N284" s="13">
        <f>MAX(0,N283+(B284-C284-0.5*D284))</f>
        <v/>
      </c>
      <c r="O284" s="13">
        <f>MIN(0,O283+(B284-C284+0.5*D284))</f>
        <v/>
      </c>
      <c r="P284">
        <f>IF(ABS(G284)&gt;1,P283+1,0)</f>
        <v/>
      </c>
      <c r="Q284">
        <f>IFS(OR(ABS(G284)&gt;3,N284&gt;5*D284,ABS(O284)&gt;5*D284,P284&gt;=5),"CRITICAL",OR(ABS(G284)&gt;2,P284&gt;=3,ABS(J284)&gt;3.5),"EARLY WARNING",ABS(G284)&gt;1,"WATCH",TRUE,"NORMAL")</f>
        <v/>
      </c>
    </row>
    <row r="285">
      <c r="A285" s="12" t="n">
        <v>45310</v>
      </c>
      <c r="B285" s="13">
        <f>Raw_Data!B285</f>
        <v/>
      </c>
      <c r="C285" s="13">
        <f>AVERAGE(B256:B285)</f>
        <v/>
      </c>
      <c r="D285" s="13">
        <f>STDEV.S(B256:B285)</f>
        <v/>
      </c>
      <c r="E285" s="13">
        <f>C285+3*D285</f>
        <v/>
      </c>
      <c r="F285" s="13">
        <f>C285-3*D285</f>
        <v/>
      </c>
      <c r="G285" s="15">
        <f>IF(D285=0,"",(B285-C285)/D285)</f>
        <v/>
      </c>
      <c r="H285" s="13">
        <f>MEDIAN(B256:B285)</f>
        <v/>
      </c>
      <c r="I285" s="13">
        <f>MEDIAN(ABS(B256:B285-H285))</f>
        <v/>
      </c>
      <c r="J285" s="15">
        <f>IF(I285=0,"",0.6745*(B285-H285)/I285)</f>
        <v/>
      </c>
      <c r="K285" s="13">
        <f>0.2*B285+0.8*K284</f>
        <v/>
      </c>
      <c r="L285" s="13">
        <f>C285+3*D285*SQRT(0.2/(2-0.2))</f>
        <v/>
      </c>
      <c r="M285" s="13">
        <f>C285-3*D285*SQRT(0.2/(2-0.2))</f>
        <v/>
      </c>
      <c r="N285" s="13">
        <f>MAX(0,N284+(B285-C285-0.5*D285))</f>
        <v/>
      </c>
      <c r="O285" s="13">
        <f>MIN(0,O284+(B285-C285+0.5*D285))</f>
        <v/>
      </c>
      <c r="P285">
        <f>IF(ABS(G285)&gt;1,P284+1,0)</f>
        <v/>
      </c>
      <c r="Q285">
        <f>IFS(OR(ABS(G285)&gt;3,N285&gt;5*D285,ABS(O285)&gt;5*D285,P285&gt;=5),"CRITICAL",OR(ABS(G285)&gt;2,P285&gt;=3,ABS(J285)&gt;3.5),"EARLY WARNING",ABS(G285)&gt;1,"WATCH",TRUE,"NORMAL")</f>
        <v/>
      </c>
    </row>
    <row r="286">
      <c r="A286" s="12" t="n">
        <v>45311</v>
      </c>
      <c r="B286" s="13">
        <f>Raw_Data!B286</f>
        <v/>
      </c>
      <c r="C286" s="13">
        <f>AVERAGE(B257:B286)</f>
        <v/>
      </c>
      <c r="D286" s="13">
        <f>STDEV.S(B257:B286)</f>
        <v/>
      </c>
      <c r="E286" s="13">
        <f>C286+3*D286</f>
        <v/>
      </c>
      <c r="F286" s="13">
        <f>C286-3*D286</f>
        <v/>
      </c>
      <c r="G286" s="15">
        <f>IF(D286=0,"",(B286-C286)/D286)</f>
        <v/>
      </c>
      <c r="H286" s="13">
        <f>MEDIAN(B257:B286)</f>
        <v/>
      </c>
      <c r="I286" s="13">
        <f>MEDIAN(ABS(B257:B286-H286))</f>
        <v/>
      </c>
      <c r="J286" s="15">
        <f>IF(I286=0,"",0.6745*(B286-H286)/I286)</f>
        <v/>
      </c>
      <c r="K286" s="13">
        <f>0.2*B286+0.8*K285</f>
        <v/>
      </c>
      <c r="L286" s="13">
        <f>C286+3*D286*SQRT(0.2/(2-0.2))</f>
        <v/>
      </c>
      <c r="M286" s="13">
        <f>C286-3*D286*SQRT(0.2/(2-0.2))</f>
        <v/>
      </c>
      <c r="N286" s="13">
        <f>MAX(0,N285+(B286-C286-0.5*D286))</f>
        <v/>
      </c>
      <c r="O286" s="13">
        <f>MIN(0,O285+(B286-C286+0.5*D286))</f>
        <v/>
      </c>
      <c r="P286">
        <f>IF(ABS(G286)&gt;1,P285+1,0)</f>
        <v/>
      </c>
      <c r="Q286">
        <f>IFS(OR(ABS(G286)&gt;3,N286&gt;5*D286,ABS(O286)&gt;5*D286,P286&gt;=5),"CRITICAL",OR(ABS(G286)&gt;2,P286&gt;=3,ABS(J286)&gt;3.5),"EARLY WARNING",ABS(G286)&gt;1,"WATCH",TRUE,"NORMAL")</f>
        <v/>
      </c>
    </row>
    <row r="287">
      <c r="A287" s="12" t="n">
        <v>45312</v>
      </c>
      <c r="B287" s="13">
        <f>Raw_Data!B287</f>
        <v/>
      </c>
      <c r="C287" s="13">
        <f>AVERAGE(B258:B287)</f>
        <v/>
      </c>
      <c r="D287" s="13">
        <f>STDEV.S(B258:B287)</f>
        <v/>
      </c>
      <c r="E287" s="13">
        <f>C287+3*D287</f>
        <v/>
      </c>
      <c r="F287" s="13">
        <f>C287-3*D287</f>
        <v/>
      </c>
      <c r="G287" s="15">
        <f>IF(D287=0,"",(B287-C287)/D287)</f>
        <v/>
      </c>
      <c r="H287" s="13">
        <f>MEDIAN(B258:B287)</f>
        <v/>
      </c>
      <c r="I287" s="13">
        <f>MEDIAN(ABS(B258:B287-H287))</f>
        <v/>
      </c>
      <c r="J287" s="15">
        <f>IF(I287=0,"",0.6745*(B287-H287)/I287)</f>
        <v/>
      </c>
      <c r="K287" s="13">
        <f>0.2*B287+0.8*K286</f>
        <v/>
      </c>
      <c r="L287" s="13">
        <f>C287+3*D287*SQRT(0.2/(2-0.2))</f>
        <v/>
      </c>
      <c r="M287" s="13">
        <f>C287-3*D287*SQRT(0.2/(2-0.2))</f>
        <v/>
      </c>
      <c r="N287" s="13">
        <f>MAX(0,N286+(B287-C287-0.5*D287))</f>
        <v/>
      </c>
      <c r="O287" s="13">
        <f>MIN(0,O286+(B287-C287+0.5*D287))</f>
        <v/>
      </c>
      <c r="P287">
        <f>IF(ABS(G287)&gt;1,P286+1,0)</f>
        <v/>
      </c>
      <c r="Q287">
        <f>IFS(OR(ABS(G287)&gt;3,N287&gt;5*D287,ABS(O287)&gt;5*D287,P287&gt;=5),"CRITICAL",OR(ABS(G287)&gt;2,P287&gt;=3,ABS(J287)&gt;3.5),"EARLY WARNING",ABS(G287)&gt;1,"WATCH",TRUE,"NORMAL")</f>
        <v/>
      </c>
    </row>
    <row r="288">
      <c r="A288" s="12" t="n">
        <v>45313</v>
      </c>
      <c r="B288" s="13">
        <f>Raw_Data!B288</f>
        <v/>
      </c>
      <c r="C288" s="13">
        <f>AVERAGE(B259:B288)</f>
        <v/>
      </c>
      <c r="D288" s="13">
        <f>STDEV.S(B259:B288)</f>
        <v/>
      </c>
      <c r="E288" s="13">
        <f>C288+3*D288</f>
        <v/>
      </c>
      <c r="F288" s="13">
        <f>C288-3*D288</f>
        <v/>
      </c>
      <c r="G288" s="15">
        <f>IF(D288=0,"",(B288-C288)/D288)</f>
        <v/>
      </c>
      <c r="H288" s="13">
        <f>MEDIAN(B259:B288)</f>
        <v/>
      </c>
      <c r="I288" s="13">
        <f>MEDIAN(ABS(B259:B288-H288))</f>
        <v/>
      </c>
      <c r="J288" s="15">
        <f>IF(I288=0,"",0.6745*(B288-H288)/I288)</f>
        <v/>
      </c>
      <c r="K288" s="13">
        <f>0.2*B288+0.8*K287</f>
        <v/>
      </c>
      <c r="L288" s="13">
        <f>C288+3*D288*SQRT(0.2/(2-0.2))</f>
        <v/>
      </c>
      <c r="M288" s="13">
        <f>C288-3*D288*SQRT(0.2/(2-0.2))</f>
        <v/>
      </c>
      <c r="N288" s="13">
        <f>MAX(0,N287+(B288-C288-0.5*D288))</f>
        <v/>
      </c>
      <c r="O288" s="13">
        <f>MIN(0,O287+(B288-C288+0.5*D288))</f>
        <v/>
      </c>
      <c r="P288">
        <f>IF(ABS(G288)&gt;1,P287+1,0)</f>
        <v/>
      </c>
      <c r="Q288">
        <f>IFS(OR(ABS(G288)&gt;3,N288&gt;5*D288,ABS(O288)&gt;5*D288,P288&gt;=5),"CRITICAL",OR(ABS(G288)&gt;2,P288&gt;=3,ABS(J288)&gt;3.5),"EARLY WARNING",ABS(G288)&gt;1,"WATCH",TRUE,"NORMAL")</f>
        <v/>
      </c>
    </row>
    <row r="289">
      <c r="A289" s="12" t="n">
        <v>45314</v>
      </c>
      <c r="B289" s="13">
        <f>Raw_Data!B289</f>
        <v/>
      </c>
      <c r="C289" s="13">
        <f>AVERAGE(B260:B289)</f>
        <v/>
      </c>
      <c r="D289" s="13">
        <f>STDEV.S(B260:B289)</f>
        <v/>
      </c>
      <c r="E289" s="13">
        <f>C289+3*D289</f>
        <v/>
      </c>
      <c r="F289" s="13">
        <f>C289-3*D289</f>
        <v/>
      </c>
      <c r="G289" s="15">
        <f>IF(D289=0,"",(B289-C289)/D289)</f>
        <v/>
      </c>
      <c r="H289" s="13">
        <f>MEDIAN(B260:B289)</f>
        <v/>
      </c>
      <c r="I289" s="13">
        <f>MEDIAN(ABS(B260:B289-H289))</f>
        <v/>
      </c>
      <c r="J289" s="15">
        <f>IF(I289=0,"",0.6745*(B289-H289)/I289)</f>
        <v/>
      </c>
      <c r="K289" s="13">
        <f>0.2*B289+0.8*K288</f>
        <v/>
      </c>
      <c r="L289" s="13">
        <f>C289+3*D289*SQRT(0.2/(2-0.2))</f>
        <v/>
      </c>
      <c r="M289" s="13">
        <f>C289-3*D289*SQRT(0.2/(2-0.2))</f>
        <v/>
      </c>
      <c r="N289" s="13">
        <f>MAX(0,N288+(B289-C289-0.5*D289))</f>
        <v/>
      </c>
      <c r="O289" s="13">
        <f>MIN(0,O288+(B289-C289+0.5*D289))</f>
        <v/>
      </c>
      <c r="P289">
        <f>IF(ABS(G289)&gt;1,P288+1,0)</f>
        <v/>
      </c>
      <c r="Q289">
        <f>IFS(OR(ABS(G289)&gt;3,N289&gt;5*D289,ABS(O289)&gt;5*D289,P289&gt;=5),"CRITICAL",OR(ABS(G289)&gt;2,P289&gt;=3,ABS(J289)&gt;3.5),"EARLY WARNING",ABS(G289)&gt;1,"WATCH",TRUE,"NORMAL")</f>
        <v/>
      </c>
    </row>
    <row r="290">
      <c r="A290" s="12" t="n">
        <v>45315</v>
      </c>
      <c r="B290" s="13">
        <f>Raw_Data!B290</f>
        <v/>
      </c>
      <c r="C290" s="13">
        <f>AVERAGE(B261:B290)</f>
        <v/>
      </c>
      <c r="D290" s="13">
        <f>STDEV.S(B261:B290)</f>
        <v/>
      </c>
      <c r="E290" s="13">
        <f>C290+3*D290</f>
        <v/>
      </c>
      <c r="F290" s="13">
        <f>C290-3*D290</f>
        <v/>
      </c>
      <c r="G290" s="15">
        <f>IF(D290=0,"",(B290-C290)/D290)</f>
        <v/>
      </c>
      <c r="H290" s="13">
        <f>MEDIAN(B261:B290)</f>
        <v/>
      </c>
      <c r="I290" s="13">
        <f>MEDIAN(ABS(B261:B290-H290))</f>
        <v/>
      </c>
      <c r="J290" s="15">
        <f>IF(I290=0,"",0.6745*(B290-H290)/I290)</f>
        <v/>
      </c>
      <c r="K290" s="13">
        <f>0.2*B290+0.8*K289</f>
        <v/>
      </c>
      <c r="L290" s="13">
        <f>C290+3*D290*SQRT(0.2/(2-0.2))</f>
        <v/>
      </c>
      <c r="M290" s="13">
        <f>C290-3*D290*SQRT(0.2/(2-0.2))</f>
        <v/>
      </c>
      <c r="N290" s="13">
        <f>MAX(0,N289+(B290-C290-0.5*D290))</f>
        <v/>
      </c>
      <c r="O290" s="13">
        <f>MIN(0,O289+(B290-C290+0.5*D290))</f>
        <v/>
      </c>
      <c r="P290">
        <f>IF(ABS(G290)&gt;1,P289+1,0)</f>
        <v/>
      </c>
      <c r="Q290">
        <f>IFS(OR(ABS(G290)&gt;3,N290&gt;5*D290,ABS(O290)&gt;5*D290,P290&gt;=5),"CRITICAL",OR(ABS(G290)&gt;2,P290&gt;=3,ABS(J290)&gt;3.5),"EARLY WARNING",ABS(G290)&gt;1,"WATCH",TRUE,"NORMAL")</f>
        <v/>
      </c>
    </row>
    <row r="291">
      <c r="A291" s="12" t="n">
        <v>45316</v>
      </c>
      <c r="B291" s="13">
        <f>Raw_Data!B291</f>
        <v/>
      </c>
      <c r="C291" s="13">
        <f>AVERAGE(B262:B291)</f>
        <v/>
      </c>
      <c r="D291" s="13">
        <f>STDEV.S(B262:B291)</f>
        <v/>
      </c>
      <c r="E291" s="13">
        <f>C291+3*D291</f>
        <v/>
      </c>
      <c r="F291" s="13">
        <f>C291-3*D291</f>
        <v/>
      </c>
      <c r="G291" s="15">
        <f>IF(D291=0,"",(B291-C291)/D291)</f>
        <v/>
      </c>
      <c r="H291" s="13">
        <f>MEDIAN(B262:B291)</f>
        <v/>
      </c>
      <c r="I291" s="13">
        <f>MEDIAN(ABS(B262:B291-H291))</f>
        <v/>
      </c>
      <c r="J291" s="15">
        <f>IF(I291=0,"",0.6745*(B291-H291)/I291)</f>
        <v/>
      </c>
      <c r="K291" s="13">
        <f>0.2*B291+0.8*K290</f>
        <v/>
      </c>
      <c r="L291" s="13">
        <f>C291+3*D291*SQRT(0.2/(2-0.2))</f>
        <v/>
      </c>
      <c r="M291" s="13">
        <f>C291-3*D291*SQRT(0.2/(2-0.2))</f>
        <v/>
      </c>
      <c r="N291" s="13">
        <f>MAX(0,N290+(B291-C291-0.5*D291))</f>
        <v/>
      </c>
      <c r="O291" s="13">
        <f>MIN(0,O290+(B291-C291+0.5*D291))</f>
        <v/>
      </c>
      <c r="P291">
        <f>IF(ABS(G291)&gt;1,P290+1,0)</f>
        <v/>
      </c>
      <c r="Q291">
        <f>IFS(OR(ABS(G291)&gt;3,N291&gt;5*D291,ABS(O291)&gt;5*D291,P291&gt;=5),"CRITICAL",OR(ABS(G291)&gt;2,P291&gt;=3,ABS(J291)&gt;3.5),"EARLY WARNING",ABS(G291)&gt;1,"WATCH",TRUE,"NORMAL")</f>
        <v/>
      </c>
    </row>
    <row r="292">
      <c r="A292" s="12" t="n">
        <v>45317</v>
      </c>
      <c r="B292" s="13">
        <f>Raw_Data!B292</f>
        <v/>
      </c>
      <c r="C292" s="13">
        <f>AVERAGE(B263:B292)</f>
        <v/>
      </c>
      <c r="D292" s="13">
        <f>STDEV.S(B263:B292)</f>
        <v/>
      </c>
      <c r="E292" s="13">
        <f>C292+3*D292</f>
        <v/>
      </c>
      <c r="F292" s="13">
        <f>C292-3*D292</f>
        <v/>
      </c>
      <c r="G292" s="15">
        <f>IF(D292=0,"",(B292-C292)/D292)</f>
        <v/>
      </c>
      <c r="H292" s="13">
        <f>MEDIAN(B263:B292)</f>
        <v/>
      </c>
      <c r="I292" s="13">
        <f>MEDIAN(ABS(B263:B292-H292))</f>
        <v/>
      </c>
      <c r="J292" s="15">
        <f>IF(I292=0,"",0.6745*(B292-H292)/I292)</f>
        <v/>
      </c>
      <c r="K292" s="13">
        <f>0.2*B292+0.8*K291</f>
        <v/>
      </c>
      <c r="L292" s="13">
        <f>C292+3*D292*SQRT(0.2/(2-0.2))</f>
        <v/>
      </c>
      <c r="M292" s="13">
        <f>C292-3*D292*SQRT(0.2/(2-0.2))</f>
        <v/>
      </c>
      <c r="N292" s="13">
        <f>MAX(0,N291+(B292-C292-0.5*D292))</f>
        <v/>
      </c>
      <c r="O292" s="13">
        <f>MIN(0,O291+(B292-C292+0.5*D292))</f>
        <v/>
      </c>
      <c r="P292">
        <f>IF(ABS(G292)&gt;1,P291+1,0)</f>
        <v/>
      </c>
      <c r="Q292">
        <f>IFS(OR(ABS(G292)&gt;3,N292&gt;5*D292,ABS(O292)&gt;5*D292,P292&gt;=5),"CRITICAL",OR(ABS(G292)&gt;2,P292&gt;=3,ABS(J292)&gt;3.5),"EARLY WARNING",ABS(G292)&gt;1,"WATCH",TRUE,"NORMAL")</f>
        <v/>
      </c>
    </row>
    <row r="293">
      <c r="A293" s="12" t="n">
        <v>45318</v>
      </c>
      <c r="B293" s="13">
        <f>Raw_Data!B293</f>
        <v/>
      </c>
      <c r="C293" s="13">
        <f>AVERAGE(B264:B293)</f>
        <v/>
      </c>
      <c r="D293" s="13">
        <f>STDEV.S(B264:B293)</f>
        <v/>
      </c>
      <c r="E293" s="13">
        <f>C293+3*D293</f>
        <v/>
      </c>
      <c r="F293" s="13">
        <f>C293-3*D293</f>
        <v/>
      </c>
      <c r="G293" s="15">
        <f>IF(D293=0,"",(B293-C293)/D293)</f>
        <v/>
      </c>
      <c r="H293" s="13">
        <f>MEDIAN(B264:B293)</f>
        <v/>
      </c>
      <c r="I293" s="13">
        <f>MEDIAN(ABS(B264:B293-H293))</f>
        <v/>
      </c>
      <c r="J293" s="15">
        <f>IF(I293=0,"",0.6745*(B293-H293)/I293)</f>
        <v/>
      </c>
      <c r="K293" s="13">
        <f>0.2*B293+0.8*K292</f>
        <v/>
      </c>
      <c r="L293" s="13">
        <f>C293+3*D293*SQRT(0.2/(2-0.2))</f>
        <v/>
      </c>
      <c r="M293" s="13">
        <f>C293-3*D293*SQRT(0.2/(2-0.2))</f>
        <v/>
      </c>
      <c r="N293" s="13">
        <f>MAX(0,N292+(B293-C293-0.5*D293))</f>
        <v/>
      </c>
      <c r="O293" s="13">
        <f>MIN(0,O292+(B293-C293+0.5*D293))</f>
        <v/>
      </c>
      <c r="P293">
        <f>IF(ABS(G293)&gt;1,P292+1,0)</f>
        <v/>
      </c>
      <c r="Q293">
        <f>IFS(OR(ABS(G293)&gt;3,N293&gt;5*D293,ABS(O293)&gt;5*D293,P293&gt;=5),"CRITICAL",OR(ABS(G293)&gt;2,P293&gt;=3,ABS(J293)&gt;3.5),"EARLY WARNING",ABS(G293)&gt;1,"WATCH",TRUE,"NORMAL")</f>
        <v/>
      </c>
    </row>
    <row r="294">
      <c r="A294" s="12" t="n">
        <v>45319</v>
      </c>
      <c r="B294" s="13">
        <f>Raw_Data!B294</f>
        <v/>
      </c>
      <c r="C294" s="13">
        <f>AVERAGE(B265:B294)</f>
        <v/>
      </c>
      <c r="D294" s="13">
        <f>STDEV.S(B265:B294)</f>
        <v/>
      </c>
      <c r="E294" s="13">
        <f>C294+3*D294</f>
        <v/>
      </c>
      <c r="F294" s="13">
        <f>C294-3*D294</f>
        <v/>
      </c>
      <c r="G294" s="15">
        <f>IF(D294=0,"",(B294-C294)/D294)</f>
        <v/>
      </c>
      <c r="H294" s="13">
        <f>MEDIAN(B265:B294)</f>
        <v/>
      </c>
      <c r="I294" s="13">
        <f>MEDIAN(ABS(B265:B294-H294))</f>
        <v/>
      </c>
      <c r="J294" s="15">
        <f>IF(I294=0,"",0.6745*(B294-H294)/I294)</f>
        <v/>
      </c>
      <c r="K294" s="13">
        <f>0.2*B294+0.8*K293</f>
        <v/>
      </c>
      <c r="L294" s="13">
        <f>C294+3*D294*SQRT(0.2/(2-0.2))</f>
        <v/>
      </c>
      <c r="M294" s="13">
        <f>C294-3*D294*SQRT(0.2/(2-0.2))</f>
        <v/>
      </c>
      <c r="N294" s="13">
        <f>MAX(0,N293+(B294-C294-0.5*D294))</f>
        <v/>
      </c>
      <c r="O294" s="13">
        <f>MIN(0,O293+(B294-C294+0.5*D294))</f>
        <v/>
      </c>
      <c r="P294">
        <f>IF(ABS(G294)&gt;1,P293+1,0)</f>
        <v/>
      </c>
      <c r="Q294">
        <f>IFS(OR(ABS(G294)&gt;3,N294&gt;5*D294,ABS(O294)&gt;5*D294,P294&gt;=5),"CRITICAL",OR(ABS(G294)&gt;2,P294&gt;=3,ABS(J294)&gt;3.5),"EARLY WARNING",ABS(G294)&gt;1,"WATCH",TRUE,"NORMAL")</f>
        <v/>
      </c>
    </row>
    <row r="295">
      <c r="A295" s="12" t="n">
        <v>45320</v>
      </c>
      <c r="B295" s="13">
        <f>Raw_Data!B295</f>
        <v/>
      </c>
      <c r="C295" s="13">
        <f>AVERAGE(B266:B295)</f>
        <v/>
      </c>
      <c r="D295" s="13">
        <f>STDEV.S(B266:B295)</f>
        <v/>
      </c>
      <c r="E295" s="13">
        <f>C295+3*D295</f>
        <v/>
      </c>
      <c r="F295" s="13">
        <f>C295-3*D295</f>
        <v/>
      </c>
      <c r="G295" s="15">
        <f>IF(D295=0,"",(B295-C295)/D295)</f>
        <v/>
      </c>
      <c r="H295" s="13">
        <f>MEDIAN(B266:B295)</f>
        <v/>
      </c>
      <c r="I295" s="13">
        <f>MEDIAN(ABS(B266:B295-H295))</f>
        <v/>
      </c>
      <c r="J295" s="15">
        <f>IF(I295=0,"",0.6745*(B295-H295)/I295)</f>
        <v/>
      </c>
      <c r="K295" s="13">
        <f>0.2*B295+0.8*K294</f>
        <v/>
      </c>
      <c r="L295" s="13">
        <f>C295+3*D295*SQRT(0.2/(2-0.2))</f>
        <v/>
      </c>
      <c r="M295" s="13">
        <f>C295-3*D295*SQRT(0.2/(2-0.2))</f>
        <v/>
      </c>
      <c r="N295" s="13">
        <f>MAX(0,N294+(B295-C295-0.5*D295))</f>
        <v/>
      </c>
      <c r="O295" s="13">
        <f>MIN(0,O294+(B295-C295+0.5*D295))</f>
        <v/>
      </c>
      <c r="P295">
        <f>IF(ABS(G295)&gt;1,P294+1,0)</f>
        <v/>
      </c>
      <c r="Q295">
        <f>IFS(OR(ABS(G295)&gt;3,N295&gt;5*D295,ABS(O295)&gt;5*D295,P295&gt;=5),"CRITICAL",OR(ABS(G295)&gt;2,P295&gt;=3,ABS(J295)&gt;3.5),"EARLY WARNING",ABS(G295)&gt;1,"WATCH",TRUE,"NORMAL")</f>
        <v/>
      </c>
    </row>
    <row r="296">
      <c r="A296" s="12" t="n">
        <v>45321</v>
      </c>
      <c r="B296" s="13">
        <f>Raw_Data!B296</f>
        <v/>
      </c>
      <c r="C296" s="13">
        <f>AVERAGE(B267:B296)</f>
        <v/>
      </c>
      <c r="D296" s="13">
        <f>STDEV.S(B267:B296)</f>
        <v/>
      </c>
      <c r="E296" s="13">
        <f>C296+3*D296</f>
        <v/>
      </c>
      <c r="F296" s="13">
        <f>C296-3*D296</f>
        <v/>
      </c>
      <c r="G296" s="15">
        <f>IF(D296=0,"",(B296-C296)/D296)</f>
        <v/>
      </c>
      <c r="H296" s="13">
        <f>MEDIAN(B267:B296)</f>
        <v/>
      </c>
      <c r="I296" s="13">
        <f>MEDIAN(ABS(B267:B296-H296))</f>
        <v/>
      </c>
      <c r="J296" s="15">
        <f>IF(I296=0,"",0.6745*(B296-H296)/I296)</f>
        <v/>
      </c>
      <c r="K296" s="13">
        <f>0.2*B296+0.8*K295</f>
        <v/>
      </c>
      <c r="L296" s="13">
        <f>C296+3*D296*SQRT(0.2/(2-0.2))</f>
        <v/>
      </c>
      <c r="M296" s="13">
        <f>C296-3*D296*SQRT(0.2/(2-0.2))</f>
        <v/>
      </c>
      <c r="N296" s="13">
        <f>MAX(0,N295+(B296-C296-0.5*D296))</f>
        <v/>
      </c>
      <c r="O296" s="13">
        <f>MIN(0,O295+(B296-C296+0.5*D296))</f>
        <v/>
      </c>
      <c r="P296">
        <f>IF(ABS(G296)&gt;1,P295+1,0)</f>
        <v/>
      </c>
      <c r="Q296">
        <f>IFS(OR(ABS(G296)&gt;3,N296&gt;5*D296,ABS(O296)&gt;5*D296,P296&gt;=5),"CRITICAL",OR(ABS(G296)&gt;2,P296&gt;=3,ABS(J296)&gt;3.5),"EARLY WARNING",ABS(G296)&gt;1,"WATCH",TRUE,"NORMAL")</f>
        <v/>
      </c>
    </row>
    <row r="297">
      <c r="A297" s="12" t="n">
        <v>45322</v>
      </c>
      <c r="B297" s="13">
        <f>Raw_Data!B297</f>
        <v/>
      </c>
      <c r="C297" s="13">
        <f>AVERAGE(B268:B297)</f>
        <v/>
      </c>
      <c r="D297" s="13">
        <f>STDEV.S(B268:B297)</f>
        <v/>
      </c>
      <c r="E297" s="13">
        <f>C297+3*D297</f>
        <v/>
      </c>
      <c r="F297" s="13">
        <f>C297-3*D297</f>
        <v/>
      </c>
      <c r="G297" s="15">
        <f>IF(D297=0,"",(B297-C297)/D297)</f>
        <v/>
      </c>
      <c r="H297" s="13">
        <f>MEDIAN(B268:B297)</f>
        <v/>
      </c>
      <c r="I297" s="13">
        <f>MEDIAN(ABS(B268:B297-H297))</f>
        <v/>
      </c>
      <c r="J297" s="15">
        <f>IF(I297=0,"",0.6745*(B297-H297)/I297)</f>
        <v/>
      </c>
      <c r="K297" s="13">
        <f>0.2*B297+0.8*K296</f>
        <v/>
      </c>
      <c r="L297" s="13">
        <f>C297+3*D297*SQRT(0.2/(2-0.2))</f>
        <v/>
      </c>
      <c r="M297" s="13">
        <f>C297-3*D297*SQRT(0.2/(2-0.2))</f>
        <v/>
      </c>
      <c r="N297" s="13">
        <f>MAX(0,N296+(B297-C297-0.5*D297))</f>
        <v/>
      </c>
      <c r="O297" s="13">
        <f>MIN(0,O296+(B297-C297+0.5*D297))</f>
        <v/>
      </c>
      <c r="P297">
        <f>IF(ABS(G297)&gt;1,P296+1,0)</f>
        <v/>
      </c>
      <c r="Q297">
        <f>IFS(OR(ABS(G297)&gt;3,N297&gt;5*D297,ABS(O297)&gt;5*D297,P297&gt;=5),"CRITICAL",OR(ABS(G297)&gt;2,P297&gt;=3,ABS(J297)&gt;3.5),"EARLY WARNING",ABS(G297)&gt;1,"WATCH",TRUE,"NORMAL")</f>
        <v/>
      </c>
    </row>
    <row r="298">
      <c r="A298" s="12" t="n">
        <v>45323</v>
      </c>
      <c r="B298" s="13">
        <f>Raw_Data!B298</f>
        <v/>
      </c>
      <c r="C298" s="13">
        <f>AVERAGE(B269:B298)</f>
        <v/>
      </c>
      <c r="D298" s="13">
        <f>STDEV.S(B269:B298)</f>
        <v/>
      </c>
      <c r="E298" s="13">
        <f>C298+3*D298</f>
        <v/>
      </c>
      <c r="F298" s="13">
        <f>C298-3*D298</f>
        <v/>
      </c>
      <c r="G298" s="15">
        <f>IF(D298=0,"",(B298-C298)/D298)</f>
        <v/>
      </c>
      <c r="H298" s="13">
        <f>MEDIAN(B269:B298)</f>
        <v/>
      </c>
      <c r="I298" s="13">
        <f>MEDIAN(ABS(B269:B298-H298))</f>
        <v/>
      </c>
      <c r="J298" s="15">
        <f>IF(I298=0,"",0.6745*(B298-H298)/I298)</f>
        <v/>
      </c>
      <c r="K298" s="13">
        <f>0.2*B298+0.8*K297</f>
        <v/>
      </c>
      <c r="L298" s="13">
        <f>C298+3*D298*SQRT(0.2/(2-0.2))</f>
        <v/>
      </c>
      <c r="M298" s="13">
        <f>C298-3*D298*SQRT(0.2/(2-0.2))</f>
        <v/>
      </c>
      <c r="N298" s="13">
        <f>MAX(0,N297+(B298-C298-0.5*D298))</f>
        <v/>
      </c>
      <c r="O298" s="13">
        <f>MIN(0,O297+(B298-C298+0.5*D298))</f>
        <v/>
      </c>
      <c r="P298">
        <f>IF(ABS(G298)&gt;1,P297+1,0)</f>
        <v/>
      </c>
      <c r="Q298">
        <f>IFS(OR(ABS(G298)&gt;3,N298&gt;5*D298,ABS(O298)&gt;5*D298,P298&gt;=5),"CRITICAL",OR(ABS(G298)&gt;2,P298&gt;=3,ABS(J298)&gt;3.5),"EARLY WARNING",ABS(G298)&gt;1,"WATCH",TRUE,"NORMAL")</f>
        <v/>
      </c>
    </row>
    <row r="299">
      <c r="A299" s="12" t="n">
        <v>45324</v>
      </c>
      <c r="B299" s="13">
        <f>Raw_Data!B299</f>
        <v/>
      </c>
      <c r="C299" s="13">
        <f>AVERAGE(B270:B299)</f>
        <v/>
      </c>
      <c r="D299" s="13">
        <f>STDEV.S(B270:B299)</f>
        <v/>
      </c>
      <c r="E299" s="13">
        <f>C299+3*D299</f>
        <v/>
      </c>
      <c r="F299" s="13">
        <f>C299-3*D299</f>
        <v/>
      </c>
      <c r="G299" s="15">
        <f>IF(D299=0,"",(B299-C299)/D299)</f>
        <v/>
      </c>
      <c r="H299" s="13">
        <f>MEDIAN(B270:B299)</f>
        <v/>
      </c>
      <c r="I299" s="13">
        <f>MEDIAN(ABS(B270:B299-H299))</f>
        <v/>
      </c>
      <c r="J299" s="15">
        <f>IF(I299=0,"",0.6745*(B299-H299)/I299)</f>
        <v/>
      </c>
      <c r="K299" s="13">
        <f>0.2*B299+0.8*K298</f>
        <v/>
      </c>
      <c r="L299" s="13">
        <f>C299+3*D299*SQRT(0.2/(2-0.2))</f>
        <v/>
      </c>
      <c r="M299" s="13">
        <f>C299-3*D299*SQRT(0.2/(2-0.2))</f>
        <v/>
      </c>
      <c r="N299" s="13">
        <f>MAX(0,N298+(B299-C299-0.5*D299))</f>
        <v/>
      </c>
      <c r="O299" s="13">
        <f>MIN(0,O298+(B299-C299+0.5*D299))</f>
        <v/>
      </c>
      <c r="P299">
        <f>IF(ABS(G299)&gt;1,P298+1,0)</f>
        <v/>
      </c>
      <c r="Q299">
        <f>IFS(OR(ABS(G299)&gt;3,N299&gt;5*D299,ABS(O299)&gt;5*D299,P299&gt;=5),"CRITICAL",OR(ABS(G299)&gt;2,P299&gt;=3,ABS(J299)&gt;3.5),"EARLY WARNING",ABS(G299)&gt;1,"WATCH",TRUE,"NORMAL")</f>
        <v/>
      </c>
    </row>
    <row r="300">
      <c r="A300" s="12" t="n">
        <v>45325</v>
      </c>
      <c r="B300" s="13">
        <f>Raw_Data!B300</f>
        <v/>
      </c>
      <c r="C300" s="13">
        <f>AVERAGE(B271:B300)</f>
        <v/>
      </c>
      <c r="D300" s="13">
        <f>STDEV.S(B271:B300)</f>
        <v/>
      </c>
      <c r="E300" s="13">
        <f>C300+3*D300</f>
        <v/>
      </c>
      <c r="F300" s="13">
        <f>C300-3*D300</f>
        <v/>
      </c>
      <c r="G300" s="15">
        <f>IF(D300=0,"",(B300-C300)/D300)</f>
        <v/>
      </c>
      <c r="H300" s="13">
        <f>MEDIAN(B271:B300)</f>
        <v/>
      </c>
      <c r="I300" s="13">
        <f>MEDIAN(ABS(B271:B300-H300))</f>
        <v/>
      </c>
      <c r="J300" s="15">
        <f>IF(I300=0,"",0.6745*(B300-H300)/I300)</f>
        <v/>
      </c>
      <c r="K300" s="13">
        <f>0.2*B300+0.8*K299</f>
        <v/>
      </c>
      <c r="L300" s="13">
        <f>C300+3*D300*SQRT(0.2/(2-0.2))</f>
        <v/>
      </c>
      <c r="M300" s="13">
        <f>C300-3*D300*SQRT(0.2/(2-0.2))</f>
        <v/>
      </c>
      <c r="N300" s="13">
        <f>MAX(0,N299+(B300-C300-0.5*D300))</f>
        <v/>
      </c>
      <c r="O300" s="13">
        <f>MIN(0,O299+(B300-C300+0.5*D300))</f>
        <v/>
      </c>
      <c r="P300">
        <f>IF(ABS(G300)&gt;1,P299+1,0)</f>
        <v/>
      </c>
      <c r="Q300">
        <f>IFS(OR(ABS(G300)&gt;3,N300&gt;5*D300,ABS(O300)&gt;5*D300,P300&gt;=5),"CRITICAL",OR(ABS(G300)&gt;2,P300&gt;=3,ABS(J300)&gt;3.5),"EARLY WARNING",ABS(G300)&gt;1,"WATCH",TRUE,"NORMAL")</f>
        <v/>
      </c>
    </row>
    <row r="301">
      <c r="A301" s="12" t="n">
        <v>45326</v>
      </c>
      <c r="B301" s="13">
        <f>Raw_Data!B301</f>
        <v/>
      </c>
      <c r="C301" s="13">
        <f>AVERAGE(B272:B301)</f>
        <v/>
      </c>
      <c r="D301" s="13">
        <f>STDEV.S(B272:B301)</f>
        <v/>
      </c>
      <c r="E301" s="13">
        <f>C301+3*D301</f>
        <v/>
      </c>
      <c r="F301" s="13">
        <f>C301-3*D301</f>
        <v/>
      </c>
      <c r="G301" s="15">
        <f>IF(D301=0,"",(B301-C301)/D301)</f>
        <v/>
      </c>
      <c r="H301" s="13">
        <f>MEDIAN(B272:B301)</f>
        <v/>
      </c>
      <c r="I301" s="13">
        <f>MEDIAN(ABS(B272:B301-H301))</f>
        <v/>
      </c>
      <c r="J301" s="15">
        <f>IF(I301=0,"",0.6745*(B301-H301)/I301)</f>
        <v/>
      </c>
      <c r="K301" s="13">
        <f>0.2*B301+0.8*K300</f>
        <v/>
      </c>
      <c r="L301" s="13">
        <f>C301+3*D301*SQRT(0.2/(2-0.2))</f>
        <v/>
      </c>
      <c r="M301" s="13">
        <f>C301-3*D301*SQRT(0.2/(2-0.2))</f>
        <v/>
      </c>
      <c r="N301" s="13">
        <f>MAX(0,N300+(B301-C301-0.5*D301))</f>
        <v/>
      </c>
      <c r="O301" s="13">
        <f>MIN(0,O300+(B301-C301+0.5*D301))</f>
        <v/>
      </c>
      <c r="P301">
        <f>IF(ABS(G301)&gt;1,P300+1,0)</f>
        <v/>
      </c>
      <c r="Q301">
        <f>IFS(OR(ABS(G301)&gt;3,N301&gt;5*D301,ABS(O301)&gt;5*D301,P301&gt;=5),"CRITICAL",OR(ABS(G301)&gt;2,P301&gt;=3,ABS(J301)&gt;3.5),"EARLY WARNING",ABS(G301)&gt;1,"WATCH",TRUE,"NORMAL")</f>
        <v/>
      </c>
    </row>
    <row r="302">
      <c r="A302" s="12" t="n">
        <v>45327</v>
      </c>
      <c r="B302" s="13">
        <f>Raw_Data!B302</f>
        <v/>
      </c>
      <c r="C302" s="13">
        <f>AVERAGE(B273:B302)</f>
        <v/>
      </c>
      <c r="D302" s="13">
        <f>STDEV.S(B273:B302)</f>
        <v/>
      </c>
      <c r="E302" s="13">
        <f>C302+3*D302</f>
        <v/>
      </c>
      <c r="F302" s="13">
        <f>C302-3*D302</f>
        <v/>
      </c>
      <c r="G302" s="15">
        <f>IF(D302=0,"",(B302-C302)/D302)</f>
        <v/>
      </c>
      <c r="H302" s="13">
        <f>MEDIAN(B273:B302)</f>
        <v/>
      </c>
      <c r="I302" s="13">
        <f>MEDIAN(ABS(B273:B302-H302))</f>
        <v/>
      </c>
      <c r="J302" s="15">
        <f>IF(I302=0,"",0.6745*(B302-H302)/I302)</f>
        <v/>
      </c>
      <c r="K302" s="13">
        <f>0.2*B302+0.8*K301</f>
        <v/>
      </c>
      <c r="L302" s="13">
        <f>C302+3*D302*SQRT(0.2/(2-0.2))</f>
        <v/>
      </c>
      <c r="M302" s="13">
        <f>C302-3*D302*SQRT(0.2/(2-0.2))</f>
        <v/>
      </c>
      <c r="N302" s="13">
        <f>MAX(0,N301+(B302-C302-0.5*D302))</f>
        <v/>
      </c>
      <c r="O302" s="13">
        <f>MIN(0,O301+(B302-C302+0.5*D302))</f>
        <v/>
      </c>
      <c r="P302">
        <f>IF(ABS(G302)&gt;1,P301+1,0)</f>
        <v/>
      </c>
      <c r="Q302">
        <f>IFS(OR(ABS(G302)&gt;3,N302&gt;5*D302,ABS(O302)&gt;5*D302,P302&gt;=5),"CRITICAL",OR(ABS(G302)&gt;2,P302&gt;=3,ABS(J302)&gt;3.5),"EARLY WARNING",ABS(G302)&gt;1,"WATCH",TRUE,"NORMAL")</f>
        <v/>
      </c>
    </row>
    <row r="303">
      <c r="A303" s="12" t="n">
        <v>45328</v>
      </c>
      <c r="B303" s="13">
        <f>Raw_Data!B303</f>
        <v/>
      </c>
      <c r="C303" s="13">
        <f>AVERAGE(B274:B303)</f>
        <v/>
      </c>
      <c r="D303" s="13">
        <f>STDEV.S(B274:B303)</f>
        <v/>
      </c>
      <c r="E303" s="13">
        <f>C303+3*D303</f>
        <v/>
      </c>
      <c r="F303" s="13">
        <f>C303-3*D303</f>
        <v/>
      </c>
      <c r="G303" s="15">
        <f>IF(D303=0,"",(B303-C303)/D303)</f>
        <v/>
      </c>
      <c r="H303" s="13">
        <f>MEDIAN(B274:B303)</f>
        <v/>
      </c>
      <c r="I303" s="13">
        <f>MEDIAN(ABS(B274:B303-H303))</f>
        <v/>
      </c>
      <c r="J303" s="15">
        <f>IF(I303=0,"",0.6745*(B303-H303)/I303)</f>
        <v/>
      </c>
      <c r="K303" s="13">
        <f>0.2*B303+0.8*K302</f>
        <v/>
      </c>
      <c r="L303" s="13">
        <f>C303+3*D303*SQRT(0.2/(2-0.2))</f>
        <v/>
      </c>
      <c r="M303" s="13">
        <f>C303-3*D303*SQRT(0.2/(2-0.2))</f>
        <v/>
      </c>
      <c r="N303" s="13">
        <f>MAX(0,N302+(B303-C303-0.5*D303))</f>
        <v/>
      </c>
      <c r="O303" s="13">
        <f>MIN(0,O302+(B303-C303+0.5*D303))</f>
        <v/>
      </c>
      <c r="P303">
        <f>IF(ABS(G303)&gt;1,P302+1,0)</f>
        <v/>
      </c>
      <c r="Q303">
        <f>IFS(OR(ABS(G303)&gt;3,N303&gt;5*D303,ABS(O303)&gt;5*D303,P303&gt;=5),"CRITICAL",OR(ABS(G303)&gt;2,P303&gt;=3,ABS(J303)&gt;3.5),"EARLY WARNING",ABS(G303)&gt;1,"WATCH",TRUE,"NORMAL")</f>
        <v/>
      </c>
    </row>
    <row r="304">
      <c r="A304" s="12" t="n">
        <v>45329</v>
      </c>
      <c r="B304" s="13">
        <f>Raw_Data!B304</f>
        <v/>
      </c>
      <c r="C304" s="13">
        <f>AVERAGE(B275:B304)</f>
        <v/>
      </c>
      <c r="D304" s="13">
        <f>STDEV.S(B275:B304)</f>
        <v/>
      </c>
      <c r="E304" s="13">
        <f>C304+3*D304</f>
        <v/>
      </c>
      <c r="F304" s="13">
        <f>C304-3*D304</f>
        <v/>
      </c>
      <c r="G304" s="15">
        <f>IF(D304=0,"",(B304-C304)/D304)</f>
        <v/>
      </c>
      <c r="H304" s="13">
        <f>MEDIAN(B275:B304)</f>
        <v/>
      </c>
      <c r="I304" s="13">
        <f>MEDIAN(ABS(B275:B304-H304))</f>
        <v/>
      </c>
      <c r="J304" s="15">
        <f>IF(I304=0,"",0.6745*(B304-H304)/I304)</f>
        <v/>
      </c>
      <c r="K304" s="13">
        <f>0.2*B304+0.8*K303</f>
        <v/>
      </c>
      <c r="L304" s="13">
        <f>C304+3*D304*SQRT(0.2/(2-0.2))</f>
        <v/>
      </c>
      <c r="M304" s="13">
        <f>C304-3*D304*SQRT(0.2/(2-0.2))</f>
        <v/>
      </c>
      <c r="N304" s="13">
        <f>MAX(0,N303+(B304-C304-0.5*D304))</f>
        <v/>
      </c>
      <c r="O304" s="13">
        <f>MIN(0,O303+(B304-C304+0.5*D304))</f>
        <v/>
      </c>
      <c r="P304">
        <f>IF(ABS(G304)&gt;1,P303+1,0)</f>
        <v/>
      </c>
      <c r="Q304">
        <f>IFS(OR(ABS(G304)&gt;3,N304&gt;5*D304,ABS(O304)&gt;5*D304,P304&gt;=5),"CRITICAL",OR(ABS(G304)&gt;2,P304&gt;=3,ABS(J304)&gt;3.5),"EARLY WARNING",ABS(G304)&gt;1,"WATCH",TRUE,"NORMAL")</f>
        <v/>
      </c>
    </row>
    <row r="305">
      <c r="A305" s="12" t="n">
        <v>45330</v>
      </c>
      <c r="B305" s="13">
        <f>Raw_Data!B305</f>
        <v/>
      </c>
      <c r="C305" s="13">
        <f>AVERAGE(B276:B305)</f>
        <v/>
      </c>
      <c r="D305" s="13">
        <f>STDEV.S(B276:B305)</f>
        <v/>
      </c>
      <c r="E305" s="13">
        <f>C305+3*D305</f>
        <v/>
      </c>
      <c r="F305" s="13">
        <f>C305-3*D305</f>
        <v/>
      </c>
      <c r="G305" s="15">
        <f>IF(D305=0,"",(B305-C305)/D305)</f>
        <v/>
      </c>
      <c r="H305" s="13">
        <f>MEDIAN(B276:B305)</f>
        <v/>
      </c>
      <c r="I305" s="13">
        <f>MEDIAN(ABS(B276:B305-H305))</f>
        <v/>
      </c>
      <c r="J305" s="15">
        <f>IF(I305=0,"",0.6745*(B305-H305)/I305)</f>
        <v/>
      </c>
      <c r="K305" s="13">
        <f>0.2*B305+0.8*K304</f>
        <v/>
      </c>
      <c r="L305" s="13">
        <f>C305+3*D305*SQRT(0.2/(2-0.2))</f>
        <v/>
      </c>
      <c r="M305" s="13">
        <f>C305-3*D305*SQRT(0.2/(2-0.2))</f>
        <v/>
      </c>
      <c r="N305" s="13">
        <f>MAX(0,N304+(B305-C305-0.5*D305))</f>
        <v/>
      </c>
      <c r="O305" s="13">
        <f>MIN(0,O304+(B305-C305+0.5*D305))</f>
        <v/>
      </c>
      <c r="P305">
        <f>IF(ABS(G305)&gt;1,P304+1,0)</f>
        <v/>
      </c>
      <c r="Q305">
        <f>IFS(OR(ABS(G305)&gt;3,N305&gt;5*D305,ABS(O305)&gt;5*D305,P305&gt;=5),"CRITICAL",OR(ABS(G305)&gt;2,P305&gt;=3,ABS(J305)&gt;3.5),"EARLY WARNING",ABS(G305)&gt;1,"WATCH",TRUE,"NORMAL")</f>
        <v/>
      </c>
    </row>
    <row r="306">
      <c r="A306" s="12" t="n">
        <v>45331</v>
      </c>
      <c r="B306" s="13">
        <f>Raw_Data!B306</f>
        <v/>
      </c>
      <c r="C306" s="13">
        <f>AVERAGE(B277:B306)</f>
        <v/>
      </c>
      <c r="D306" s="13">
        <f>STDEV.S(B277:B306)</f>
        <v/>
      </c>
      <c r="E306" s="13">
        <f>C306+3*D306</f>
        <v/>
      </c>
      <c r="F306" s="13">
        <f>C306-3*D306</f>
        <v/>
      </c>
      <c r="G306" s="15">
        <f>IF(D306=0,"",(B306-C306)/D306)</f>
        <v/>
      </c>
      <c r="H306" s="13">
        <f>MEDIAN(B277:B306)</f>
        <v/>
      </c>
      <c r="I306" s="13">
        <f>MEDIAN(ABS(B277:B306-H306))</f>
        <v/>
      </c>
      <c r="J306" s="15">
        <f>IF(I306=0,"",0.6745*(B306-H306)/I306)</f>
        <v/>
      </c>
      <c r="K306" s="13">
        <f>0.2*B306+0.8*K305</f>
        <v/>
      </c>
      <c r="L306" s="13">
        <f>C306+3*D306*SQRT(0.2/(2-0.2))</f>
        <v/>
      </c>
      <c r="M306" s="13">
        <f>C306-3*D306*SQRT(0.2/(2-0.2))</f>
        <v/>
      </c>
      <c r="N306" s="13">
        <f>MAX(0,N305+(B306-C306-0.5*D306))</f>
        <v/>
      </c>
      <c r="O306" s="13">
        <f>MIN(0,O305+(B306-C306+0.5*D306))</f>
        <v/>
      </c>
      <c r="P306">
        <f>IF(ABS(G306)&gt;1,P305+1,0)</f>
        <v/>
      </c>
      <c r="Q306">
        <f>IFS(OR(ABS(G306)&gt;3,N306&gt;5*D306,ABS(O306)&gt;5*D306,P306&gt;=5),"CRITICAL",OR(ABS(G306)&gt;2,P306&gt;=3,ABS(J306)&gt;3.5),"EARLY WARNING",ABS(G306)&gt;1,"WATCH",TRUE,"NORMAL")</f>
        <v/>
      </c>
    </row>
    <row r="307">
      <c r="A307" s="12" t="n">
        <v>45332</v>
      </c>
      <c r="B307" s="13">
        <f>Raw_Data!B307</f>
        <v/>
      </c>
      <c r="C307" s="13">
        <f>AVERAGE(B278:B307)</f>
        <v/>
      </c>
      <c r="D307" s="13">
        <f>STDEV.S(B278:B307)</f>
        <v/>
      </c>
      <c r="E307" s="13">
        <f>C307+3*D307</f>
        <v/>
      </c>
      <c r="F307" s="13">
        <f>C307-3*D307</f>
        <v/>
      </c>
      <c r="G307" s="15">
        <f>IF(D307=0,"",(B307-C307)/D307)</f>
        <v/>
      </c>
      <c r="H307" s="13">
        <f>MEDIAN(B278:B307)</f>
        <v/>
      </c>
      <c r="I307" s="13">
        <f>MEDIAN(ABS(B278:B307-H307))</f>
        <v/>
      </c>
      <c r="J307" s="15">
        <f>IF(I307=0,"",0.6745*(B307-H307)/I307)</f>
        <v/>
      </c>
      <c r="K307" s="13">
        <f>0.2*B307+0.8*K306</f>
        <v/>
      </c>
      <c r="L307" s="13">
        <f>C307+3*D307*SQRT(0.2/(2-0.2))</f>
        <v/>
      </c>
      <c r="M307" s="13">
        <f>C307-3*D307*SQRT(0.2/(2-0.2))</f>
        <v/>
      </c>
      <c r="N307" s="13">
        <f>MAX(0,N306+(B307-C307-0.5*D307))</f>
        <v/>
      </c>
      <c r="O307" s="13">
        <f>MIN(0,O306+(B307-C307+0.5*D307))</f>
        <v/>
      </c>
      <c r="P307">
        <f>IF(ABS(G307)&gt;1,P306+1,0)</f>
        <v/>
      </c>
      <c r="Q307">
        <f>IFS(OR(ABS(G307)&gt;3,N307&gt;5*D307,ABS(O307)&gt;5*D307,P307&gt;=5),"CRITICAL",OR(ABS(G307)&gt;2,P307&gt;=3,ABS(J307)&gt;3.5),"EARLY WARNING",ABS(G307)&gt;1,"WATCH",TRUE,"NORMAL")</f>
        <v/>
      </c>
    </row>
    <row r="308">
      <c r="A308" s="12" t="n">
        <v>45333</v>
      </c>
      <c r="B308" s="13">
        <f>Raw_Data!B308</f>
        <v/>
      </c>
      <c r="C308" s="13">
        <f>AVERAGE(B279:B308)</f>
        <v/>
      </c>
      <c r="D308" s="13">
        <f>STDEV.S(B279:B308)</f>
        <v/>
      </c>
      <c r="E308" s="13">
        <f>C308+3*D308</f>
        <v/>
      </c>
      <c r="F308" s="13">
        <f>C308-3*D308</f>
        <v/>
      </c>
      <c r="G308" s="15">
        <f>IF(D308=0,"",(B308-C308)/D308)</f>
        <v/>
      </c>
      <c r="H308" s="13">
        <f>MEDIAN(B279:B308)</f>
        <v/>
      </c>
      <c r="I308" s="13">
        <f>MEDIAN(ABS(B279:B308-H308))</f>
        <v/>
      </c>
      <c r="J308" s="15">
        <f>IF(I308=0,"",0.6745*(B308-H308)/I308)</f>
        <v/>
      </c>
      <c r="K308" s="13">
        <f>0.2*B308+0.8*K307</f>
        <v/>
      </c>
      <c r="L308" s="13">
        <f>C308+3*D308*SQRT(0.2/(2-0.2))</f>
        <v/>
      </c>
      <c r="M308" s="13">
        <f>C308-3*D308*SQRT(0.2/(2-0.2))</f>
        <v/>
      </c>
      <c r="N308" s="13">
        <f>MAX(0,N307+(B308-C308-0.5*D308))</f>
        <v/>
      </c>
      <c r="O308" s="13">
        <f>MIN(0,O307+(B308-C308+0.5*D308))</f>
        <v/>
      </c>
      <c r="P308">
        <f>IF(ABS(G308)&gt;1,P307+1,0)</f>
        <v/>
      </c>
      <c r="Q308">
        <f>IFS(OR(ABS(G308)&gt;3,N308&gt;5*D308,ABS(O308)&gt;5*D308,P308&gt;=5),"CRITICAL",OR(ABS(G308)&gt;2,P308&gt;=3,ABS(J308)&gt;3.5),"EARLY WARNING",ABS(G308)&gt;1,"WATCH",TRUE,"NORMAL")</f>
        <v/>
      </c>
    </row>
    <row r="309">
      <c r="A309" s="12" t="n">
        <v>45334</v>
      </c>
      <c r="B309" s="13">
        <f>Raw_Data!B309</f>
        <v/>
      </c>
      <c r="C309" s="13">
        <f>AVERAGE(B280:B309)</f>
        <v/>
      </c>
      <c r="D309" s="13">
        <f>STDEV.S(B280:B309)</f>
        <v/>
      </c>
      <c r="E309" s="13">
        <f>C309+3*D309</f>
        <v/>
      </c>
      <c r="F309" s="13">
        <f>C309-3*D309</f>
        <v/>
      </c>
      <c r="G309" s="15">
        <f>IF(D309=0,"",(B309-C309)/D309)</f>
        <v/>
      </c>
      <c r="H309" s="13">
        <f>MEDIAN(B280:B309)</f>
        <v/>
      </c>
      <c r="I309" s="13">
        <f>MEDIAN(ABS(B280:B309-H309))</f>
        <v/>
      </c>
      <c r="J309" s="15">
        <f>IF(I309=0,"",0.6745*(B309-H309)/I309)</f>
        <v/>
      </c>
      <c r="K309" s="13">
        <f>0.2*B309+0.8*K308</f>
        <v/>
      </c>
      <c r="L309" s="13">
        <f>C309+3*D309*SQRT(0.2/(2-0.2))</f>
        <v/>
      </c>
      <c r="M309" s="13">
        <f>C309-3*D309*SQRT(0.2/(2-0.2))</f>
        <v/>
      </c>
      <c r="N309" s="13">
        <f>MAX(0,N308+(B309-C309-0.5*D309))</f>
        <v/>
      </c>
      <c r="O309" s="13">
        <f>MIN(0,O308+(B309-C309+0.5*D309))</f>
        <v/>
      </c>
      <c r="P309">
        <f>IF(ABS(G309)&gt;1,P308+1,0)</f>
        <v/>
      </c>
      <c r="Q309">
        <f>IFS(OR(ABS(G309)&gt;3,N309&gt;5*D309,ABS(O309)&gt;5*D309,P309&gt;=5),"CRITICAL",OR(ABS(G309)&gt;2,P309&gt;=3,ABS(J309)&gt;3.5),"EARLY WARNING",ABS(G309)&gt;1,"WATCH",TRUE,"NORMAL")</f>
        <v/>
      </c>
    </row>
    <row r="310">
      <c r="A310" s="12" t="n">
        <v>45335</v>
      </c>
      <c r="B310" s="13">
        <f>Raw_Data!B310</f>
        <v/>
      </c>
      <c r="C310" s="13">
        <f>AVERAGE(B281:B310)</f>
        <v/>
      </c>
      <c r="D310" s="13">
        <f>STDEV.S(B281:B310)</f>
        <v/>
      </c>
      <c r="E310" s="13">
        <f>C310+3*D310</f>
        <v/>
      </c>
      <c r="F310" s="13">
        <f>C310-3*D310</f>
        <v/>
      </c>
      <c r="G310" s="15">
        <f>IF(D310=0,"",(B310-C310)/D310)</f>
        <v/>
      </c>
      <c r="H310" s="13">
        <f>MEDIAN(B281:B310)</f>
        <v/>
      </c>
      <c r="I310" s="13">
        <f>MEDIAN(ABS(B281:B310-H310))</f>
        <v/>
      </c>
      <c r="J310" s="15">
        <f>IF(I310=0,"",0.6745*(B310-H310)/I310)</f>
        <v/>
      </c>
      <c r="K310" s="13">
        <f>0.2*B310+0.8*K309</f>
        <v/>
      </c>
      <c r="L310" s="13">
        <f>C310+3*D310*SQRT(0.2/(2-0.2))</f>
        <v/>
      </c>
      <c r="M310" s="13">
        <f>C310-3*D310*SQRT(0.2/(2-0.2))</f>
        <v/>
      </c>
      <c r="N310" s="13">
        <f>MAX(0,N309+(B310-C310-0.5*D310))</f>
        <v/>
      </c>
      <c r="O310" s="13">
        <f>MIN(0,O309+(B310-C310+0.5*D310))</f>
        <v/>
      </c>
      <c r="P310">
        <f>IF(ABS(G310)&gt;1,P309+1,0)</f>
        <v/>
      </c>
      <c r="Q310">
        <f>IFS(OR(ABS(G310)&gt;3,N310&gt;5*D310,ABS(O310)&gt;5*D310,P310&gt;=5),"CRITICAL",OR(ABS(G310)&gt;2,P310&gt;=3,ABS(J310)&gt;3.5),"EARLY WARNING",ABS(G310)&gt;1,"WATCH",TRUE,"NORMAL")</f>
        <v/>
      </c>
    </row>
    <row r="311">
      <c r="A311" s="12" t="n">
        <v>45336</v>
      </c>
      <c r="B311" s="13">
        <f>Raw_Data!B311</f>
        <v/>
      </c>
      <c r="C311" s="13">
        <f>AVERAGE(B282:B311)</f>
        <v/>
      </c>
      <c r="D311" s="13">
        <f>STDEV.S(B282:B311)</f>
        <v/>
      </c>
      <c r="E311" s="13">
        <f>C311+3*D311</f>
        <v/>
      </c>
      <c r="F311" s="13">
        <f>C311-3*D311</f>
        <v/>
      </c>
      <c r="G311" s="15">
        <f>IF(D311=0,"",(B311-C311)/D311)</f>
        <v/>
      </c>
      <c r="H311" s="13">
        <f>MEDIAN(B282:B311)</f>
        <v/>
      </c>
      <c r="I311" s="13">
        <f>MEDIAN(ABS(B282:B311-H311))</f>
        <v/>
      </c>
      <c r="J311" s="15">
        <f>IF(I311=0,"",0.6745*(B311-H311)/I311)</f>
        <v/>
      </c>
      <c r="K311" s="13">
        <f>0.2*B311+0.8*K310</f>
        <v/>
      </c>
      <c r="L311" s="13">
        <f>C311+3*D311*SQRT(0.2/(2-0.2))</f>
        <v/>
      </c>
      <c r="M311" s="13">
        <f>C311-3*D311*SQRT(0.2/(2-0.2))</f>
        <v/>
      </c>
      <c r="N311" s="13">
        <f>MAX(0,N310+(B311-C311-0.5*D311))</f>
        <v/>
      </c>
      <c r="O311" s="13">
        <f>MIN(0,O310+(B311-C311+0.5*D311))</f>
        <v/>
      </c>
      <c r="P311">
        <f>IF(ABS(G311)&gt;1,P310+1,0)</f>
        <v/>
      </c>
      <c r="Q311">
        <f>IFS(OR(ABS(G311)&gt;3,N311&gt;5*D311,ABS(O311)&gt;5*D311,P311&gt;=5),"CRITICAL",OR(ABS(G311)&gt;2,P311&gt;=3,ABS(J311)&gt;3.5),"EARLY WARNING",ABS(G311)&gt;1,"WATCH",TRUE,"NORMAL")</f>
        <v/>
      </c>
    </row>
    <row r="312">
      <c r="A312" s="12" t="n">
        <v>45337</v>
      </c>
      <c r="B312" s="13">
        <f>Raw_Data!B312</f>
        <v/>
      </c>
      <c r="C312" s="13">
        <f>AVERAGE(B283:B312)</f>
        <v/>
      </c>
      <c r="D312" s="13">
        <f>STDEV.S(B283:B312)</f>
        <v/>
      </c>
      <c r="E312" s="13">
        <f>C312+3*D312</f>
        <v/>
      </c>
      <c r="F312" s="13">
        <f>C312-3*D312</f>
        <v/>
      </c>
      <c r="G312" s="15">
        <f>IF(D312=0,"",(B312-C312)/D312)</f>
        <v/>
      </c>
      <c r="H312" s="13">
        <f>MEDIAN(B283:B312)</f>
        <v/>
      </c>
      <c r="I312" s="13">
        <f>MEDIAN(ABS(B283:B312-H312))</f>
        <v/>
      </c>
      <c r="J312" s="15">
        <f>IF(I312=0,"",0.6745*(B312-H312)/I312)</f>
        <v/>
      </c>
      <c r="K312" s="13">
        <f>0.2*B312+0.8*K311</f>
        <v/>
      </c>
      <c r="L312" s="13">
        <f>C312+3*D312*SQRT(0.2/(2-0.2))</f>
        <v/>
      </c>
      <c r="M312" s="13">
        <f>C312-3*D312*SQRT(0.2/(2-0.2))</f>
        <v/>
      </c>
      <c r="N312" s="13">
        <f>MAX(0,N311+(B312-C312-0.5*D312))</f>
        <v/>
      </c>
      <c r="O312" s="13">
        <f>MIN(0,O311+(B312-C312+0.5*D312))</f>
        <v/>
      </c>
      <c r="P312">
        <f>IF(ABS(G312)&gt;1,P311+1,0)</f>
        <v/>
      </c>
      <c r="Q312">
        <f>IFS(OR(ABS(G312)&gt;3,N312&gt;5*D312,ABS(O312)&gt;5*D312,P312&gt;=5),"CRITICAL",OR(ABS(G312)&gt;2,P312&gt;=3,ABS(J312)&gt;3.5),"EARLY WARNING",ABS(G312)&gt;1,"WATCH",TRUE,"NORMAL")</f>
        <v/>
      </c>
    </row>
    <row r="313">
      <c r="A313" s="12" t="n">
        <v>45338</v>
      </c>
      <c r="B313" s="13">
        <f>Raw_Data!B313</f>
        <v/>
      </c>
      <c r="C313" s="13">
        <f>AVERAGE(B284:B313)</f>
        <v/>
      </c>
      <c r="D313" s="13">
        <f>STDEV.S(B284:B313)</f>
        <v/>
      </c>
      <c r="E313" s="13">
        <f>C313+3*D313</f>
        <v/>
      </c>
      <c r="F313" s="13">
        <f>C313-3*D313</f>
        <v/>
      </c>
      <c r="G313" s="15">
        <f>IF(D313=0,"",(B313-C313)/D313)</f>
        <v/>
      </c>
      <c r="H313" s="13">
        <f>MEDIAN(B284:B313)</f>
        <v/>
      </c>
      <c r="I313" s="13">
        <f>MEDIAN(ABS(B284:B313-H313))</f>
        <v/>
      </c>
      <c r="J313" s="15">
        <f>IF(I313=0,"",0.6745*(B313-H313)/I313)</f>
        <v/>
      </c>
      <c r="K313" s="13">
        <f>0.2*B313+0.8*K312</f>
        <v/>
      </c>
      <c r="L313" s="13">
        <f>C313+3*D313*SQRT(0.2/(2-0.2))</f>
        <v/>
      </c>
      <c r="M313" s="13">
        <f>C313-3*D313*SQRT(0.2/(2-0.2))</f>
        <v/>
      </c>
      <c r="N313" s="13">
        <f>MAX(0,N312+(B313-C313-0.5*D313))</f>
        <v/>
      </c>
      <c r="O313" s="13">
        <f>MIN(0,O312+(B313-C313+0.5*D313))</f>
        <v/>
      </c>
      <c r="P313">
        <f>IF(ABS(G313)&gt;1,P312+1,0)</f>
        <v/>
      </c>
      <c r="Q313">
        <f>IFS(OR(ABS(G313)&gt;3,N313&gt;5*D313,ABS(O313)&gt;5*D313,P313&gt;=5),"CRITICAL",OR(ABS(G313)&gt;2,P313&gt;=3,ABS(J313)&gt;3.5),"EARLY WARNING",ABS(G313)&gt;1,"WATCH",TRUE,"NORMAL")</f>
        <v/>
      </c>
    </row>
    <row r="314">
      <c r="A314" s="12" t="n">
        <v>45339</v>
      </c>
      <c r="B314" s="13">
        <f>Raw_Data!B314</f>
        <v/>
      </c>
      <c r="C314" s="13">
        <f>AVERAGE(B285:B314)</f>
        <v/>
      </c>
      <c r="D314" s="13">
        <f>STDEV.S(B285:B314)</f>
        <v/>
      </c>
      <c r="E314" s="13">
        <f>C314+3*D314</f>
        <v/>
      </c>
      <c r="F314" s="13">
        <f>C314-3*D314</f>
        <v/>
      </c>
      <c r="G314" s="15">
        <f>IF(D314=0,"",(B314-C314)/D314)</f>
        <v/>
      </c>
      <c r="H314" s="13">
        <f>MEDIAN(B285:B314)</f>
        <v/>
      </c>
      <c r="I314" s="13">
        <f>MEDIAN(ABS(B285:B314-H314))</f>
        <v/>
      </c>
      <c r="J314" s="15">
        <f>IF(I314=0,"",0.6745*(B314-H314)/I314)</f>
        <v/>
      </c>
      <c r="K314" s="13">
        <f>0.2*B314+0.8*K313</f>
        <v/>
      </c>
      <c r="L314" s="13">
        <f>C314+3*D314*SQRT(0.2/(2-0.2))</f>
        <v/>
      </c>
      <c r="M314" s="13">
        <f>C314-3*D314*SQRT(0.2/(2-0.2))</f>
        <v/>
      </c>
      <c r="N314" s="13">
        <f>MAX(0,N313+(B314-C314-0.5*D314))</f>
        <v/>
      </c>
      <c r="O314" s="13">
        <f>MIN(0,O313+(B314-C314+0.5*D314))</f>
        <v/>
      </c>
      <c r="P314">
        <f>IF(ABS(G314)&gt;1,P313+1,0)</f>
        <v/>
      </c>
      <c r="Q314">
        <f>IFS(OR(ABS(G314)&gt;3,N314&gt;5*D314,ABS(O314)&gt;5*D314,P314&gt;=5),"CRITICAL",OR(ABS(G314)&gt;2,P314&gt;=3,ABS(J314)&gt;3.5),"EARLY WARNING",ABS(G314)&gt;1,"WATCH",TRUE,"NORMAL")</f>
        <v/>
      </c>
    </row>
    <row r="315">
      <c r="A315" s="12" t="n">
        <v>45340</v>
      </c>
      <c r="B315" s="13">
        <f>Raw_Data!B315</f>
        <v/>
      </c>
      <c r="C315" s="13">
        <f>AVERAGE(B286:B315)</f>
        <v/>
      </c>
      <c r="D315" s="13">
        <f>STDEV.S(B286:B315)</f>
        <v/>
      </c>
      <c r="E315" s="13">
        <f>C315+3*D315</f>
        <v/>
      </c>
      <c r="F315" s="13">
        <f>C315-3*D315</f>
        <v/>
      </c>
      <c r="G315" s="15">
        <f>IF(D315=0,"",(B315-C315)/D315)</f>
        <v/>
      </c>
      <c r="H315" s="13">
        <f>MEDIAN(B286:B315)</f>
        <v/>
      </c>
      <c r="I315" s="13">
        <f>MEDIAN(ABS(B286:B315-H315))</f>
        <v/>
      </c>
      <c r="J315" s="15">
        <f>IF(I315=0,"",0.6745*(B315-H315)/I315)</f>
        <v/>
      </c>
      <c r="K315" s="13">
        <f>0.2*B315+0.8*K314</f>
        <v/>
      </c>
      <c r="L315" s="13">
        <f>C315+3*D315*SQRT(0.2/(2-0.2))</f>
        <v/>
      </c>
      <c r="M315" s="13">
        <f>C315-3*D315*SQRT(0.2/(2-0.2))</f>
        <v/>
      </c>
      <c r="N315" s="13">
        <f>MAX(0,N314+(B315-C315-0.5*D315))</f>
        <v/>
      </c>
      <c r="O315" s="13">
        <f>MIN(0,O314+(B315-C315+0.5*D315))</f>
        <v/>
      </c>
      <c r="P315">
        <f>IF(ABS(G315)&gt;1,P314+1,0)</f>
        <v/>
      </c>
      <c r="Q315">
        <f>IFS(OR(ABS(G315)&gt;3,N315&gt;5*D315,ABS(O315)&gt;5*D315,P315&gt;=5),"CRITICAL",OR(ABS(G315)&gt;2,P315&gt;=3,ABS(J315)&gt;3.5),"EARLY WARNING",ABS(G315)&gt;1,"WATCH",TRUE,"NORMAL")</f>
        <v/>
      </c>
    </row>
    <row r="316">
      <c r="A316" s="12" t="n">
        <v>45341</v>
      </c>
      <c r="B316" s="13">
        <f>Raw_Data!B316</f>
        <v/>
      </c>
      <c r="C316" s="13">
        <f>AVERAGE(B287:B316)</f>
        <v/>
      </c>
      <c r="D316" s="13">
        <f>STDEV.S(B287:B316)</f>
        <v/>
      </c>
      <c r="E316" s="13">
        <f>C316+3*D316</f>
        <v/>
      </c>
      <c r="F316" s="13">
        <f>C316-3*D316</f>
        <v/>
      </c>
      <c r="G316" s="15">
        <f>IF(D316=0,"",(B316-C316)/D316)</f>
        <v/>
      </c>
      <c r="H316" s="13">
        <f>MEDIAN(B287:B316)</f>
        <v/>
      </c>
      <c r="I316" s="13">
        <f>MEDIAN(ABS(B287:B316-H316))</f>
        <v/>
      </c>
      <c r="J316" s="15">
        <f>IF(I316=0,"",0.6745*(B316-H316)/I316)</f>
        <v/>
      </c>
      <c r="K316" s="13">
        <f>0.2*B316+0.8*K315</f>
        <v/>
      </c>
      <c r="L316" s="13">
        <f>C316+3*D316*SQRT(0.2/(2-0.2))</f>
        <v/>
      </c>
      <c r="M316" s="13">
        <f>C316-3*D316*SQRT(0.2/(2-0.2))</f>
        <v/>
      </c>
      <c r="N316" s="13">
        <f>MAX(0,N315+(B316-C316-0.5*D316))</f>
        <v/>
      </c>
      <c r="O316" s="13">
        <f>MIN(0,O315+(B316-C316+0.5*D316))</f>
        <v/>
      </c>
      <c r="P316">
        <f>IF(ABS(G316)&gt;1,P315+1,0)</f>
        <v/>
      </c>
      <c r="Q316">
        <f>IFS(OR(ABS(G316)&gt;3,N316&gt;5*D316,ABS(O316)&gt;5*D316,P316&gt;=5),"CRITICAL",OR(ABS(G316)&gt;2,P316&gt;=3,ABS(J316)&gt;3.5),"EARLY WARNING",ABS(G316)&gt;1,"WATCH",TRUE,"NORMAL")</f>
        <v/>
      </c>
    </row>
    <row r="317">
      <c r="A317" s="12" t="n">
        <v>45342</v>
      </c>
      <c r="B317" s="13">
        <f>Raw_Data!B317</f>
        <v/>
      </c>
      <c r="C317" s="13">
        <f>AVERAGE(B288:B317)</f>
        <v/>
      </c>
      <c r="D317" s="13">
        <f>STDEV.S(B288:B317)</f>
        <v/>
      </c>
      <c r="E317" s="13">
        <f>C317+3*D317</f>
        <v/>
      </c>
      <c r="F317" s="13">
        <f>C317-3*D317</f>
        <v/>
      </c>
      <c r="G317" s="15">
        <f>IF(D317=0,"",(B317-C317)/D317)</f>
        <v/>
      </c>
      <c r="H317" s="13">
        <f>MEDIAN(B288:B317)</f>
        <v/>
      </c>
      <c r="I317" s="13">
        <f>MEDIAN(ABS(B288:B317-H317))</f>
        <v/>
      </c>
      <c r="J317" s="15">
        <f>IF(I317=0,"",0.6745*(B317-H317)/I317)</f>
        <v/>
      </c>
      <c r="K317" s="13">
        <f>0.2*B317+0.8*K316</f>
        <v/>
      </c>
      <c r="L317" s="13">
        <f>C317+3*D317*SQRT(0.2/(2-0.2))</f>
        <v/>
      </c>
      <c r="M317" s="13">
        <f>C317-3*D317*SQRT(0.2/(2-0.2))</f>
        <v/>
      </c>
      <c r="N317" s="13">
        <f>MAX(0,N316+(B317-C317-0.5*D317))</f>
        <v/>
      </c>
      <c r="O317" s="13">
        <f>MIN(0,O316+(B317-C317+0.5*D317))</f>
        <v/>
      </c>
      <c r="P317">
        <f>IF(ABS(G317)&gt;1,P316+1,0)</f>
        <v/>
      </c>
      <c r="Q317">
        <f>IFS(OR(ABS(G317)&gt;3,N317&gt;5*D317,ABS(O317)&gt;5*D317,P317&gt;=5),"CRITICAL",OR(ABS(G317)&gt;2,P317&gt;=3,ABS(J317)&gt;3.5),"EARLY WARNING",ABS(G317)&gt;1,"WATCH",TRUE,"NORMAL")</f>
        <v/>
      </c>
    </row>
    <row r="318">
      <c r="A318" s="12" t="n">
        <v>45343</v>
      </c>
      <c r="B318" s="13">
        <f>Raw_Data!B318</f>
        <v/>
      </c>
      <c r="C318" s="13">
        <f>AVERAGE(B289:B318)</f>
        <v/>
      </c>
      <c r="D318" s="13">
        <f>STDEV.S(B289:B318)</f>
        <v/>
      </c>
      <c r="E318" s="13">
        <f>C318+3*D318</f>
        <v/>
      </c>
      <c r="F318" s="13">
        <f>C318-3*D318</f>
        <v/>
      </c>
      <c r="G318" s="15">
        <f>IF(D318=0,"",(B318-C318)/D318)</f>
        <v/>
      </c>
      <c r="H318" s="13">
        <f>MEDIAN(B289:B318)</f>
        <v/>
      </c>
      <c r="I318" s="13">
        <f>MEDIAN(ABS(B289:B318-H318))</f>
        <v/>
      </c>
      <c r="J318" s="15">
        <f>IF(I318=0,"",0.6745*(B318-H318)/I318)</f>
        <v/>
      </c>
      <c r="K318" s="13">
        <f>0.2*B318+0.8*K317</f>
        <v/>
      </c>
      <c r="L318" s="13">
        <f>C318+3*D318*SQRT(0.2/(2-0.2))</f>
        <v/>
      </c>
      <c r="M318" s="13">
        <f>C318-3*D318*SQRT(0.2/(2-0.2))</f>
        <v/>
      </c>
      <c r="N318" s="13">
        <f>MAX(0,N317+(B318-C318-0.5*D318))</f>
        <v/>
      </c>
      <c r="O318" s="13">
        <f>MIN(0,O317+(B318-C318+0.5*D318))</f>
        <v/>
      </c>
      <c r="P318">
        <f>IF(ABS(G318)&gt;1,P317+1,0)</f>
        <v/>
      </c>
      <c r="Q318">
        <f>IFS(OR(ABS(G318)&gt;3,N318&gt;5*D318,ABS(O318)&gt;5*D318,P318&gt;=5),"CRITICAL",OR(ABS(G318)&gt;2,P318&gt;=3,ABS(J318)&gt;3.5),"EARLY WARNING",ABS(G318)&gt;1,"WATCH",TRUE,"NORMAL")</f>
        <v/>
      </c>
    </row>
    <row r="319">
      <c r="A319" s="12" t="n">
        <v>45344</v>
      </c>
      <c r="B319" s="13">
        <f>Raw_Data!B319</f>
        <v/>
      </c>
      <c r="C319" s="13">
        <f>AVERAGE(B290:B319)</f>
        <v/>
      </c>
      <c r="D319" s="13">
        <f>STDEV.S(B290:B319)</f>
        <v/>
      </c>
      <c r="E319" s="13">
        <f>C319+3*D319</f>
        <v/>
      </c>
      <c r="F319" s="13">
        <f>C319-3*D319</f>
        <v/>
      </c>
      <c r="G319" s="15">
        <f>IF(D319=0,"",(B319-C319)/D319)</f>
        <v/>
      </c>
      <c r="H319" s="13">
        <f>MEDIAN(B290:B319)</f>
        <v/>
      </c>
      <c r="I319" s="13">
        <f>MEDIAN(ABS(B290:B319-H319))</f>
        <v/>
      </c>
      <c r="J319" s="15">
        <f>IF(I319=0,"",0.6745*(B319-H319)/I319)</f>
        <v/>
      </c>
      <c r="K319" s="13">
        <f>0.2*B319+0.8*K318</f>
        <v/>
      </c>
      <c r="L319" s="13">
        <f>C319+3*D319*SQRT(0.2/(2-0.2))</f>
        <v/>
      </c>
      <c r="M319" s="13">
        <f>C319-3*D319*SQRT(0.2/(2-0.2))</f>
        <v/>
      </c>
      <c r="N319" s="13">
        <f>MAX(0,N318+(B319-C319-0.5*D319))</f>
        <v/>
      </c>
      <c r="O319" s="13">
        <f>MIN(0,O318+(B319-C319+0.5*D319))</f>
        <v/>
      </c>
      <c r="P319">
        <f>IF(ABS(G319)&gt;1,P318+1,0)</f>
        <v/>
      </c>
      <c r="Q319">
        <f>IFS(OR(ABS(G319)&gt;3,N319&gt;5*D319,ABS(O319)&gt;5*D319,P319&gt;=5),"CRITICAL",OR(ABS(G319)&gt;2,P319&gt;=3,ABS(J319)&gt;3.5),"EARLY WARNING",ABS(G319)&gt;1,"WATCH",TRUE,"NORMAL")</f>
        <v/>
      </c>
    </row>
    <row r="320">
      <c r="A320" s="12" t="n">
        <v>45345</v>
      </c>
      <c r="B320" s="13">
        <f>Raw_Data!B320</f>
        <v/>
      </c>
      <c r="C320" s="13">
        <f>AVERAGE(B291:B320)</f>
        <v/>
      </c>
      <c r="D320" s="13">
        <f>STDEV.S(B291:B320)</f>
        <v/>
      </c>
      <c r="E320" s="13">
        <f>C320+3*D320</f>
        <v/>
      </c>
      <c r="F320" s="13">
        <f>C320-3*D320</f>
        <v/>
      </c>
      <c r="G320" s="15">
        <f>IF(D320=0,"",(B320-C320)/D320)</f>
        <v/>
      </c>
      <c r="H320" s="13">
        <f>MEDIAN(B291:B320)</f>
        <v/>
      </c>
      <c r="I320" s="13">
        <f>MEDIAN(ABS(B291:B320-H320))</f>
        <v/>
      </c>
      <c r="J320" s="15">
        <f>IF(I320=0,"",0.6745*(B320-H320)/I320)</f>
        <v/>
      </c>
      <c r="K320" s="13">
        <f>0.2*B320+0.8*K319</f>
        <v/>
      </c>
      <c r="L320" s="13">
        <f>C320+3*D320*SQRT(0.2/(2-0.2))</f>
        <v/>
      </c>
      <c r="M320" s="13">
        <f>C320-3*D320*SQRT(0.2/(2-0.2))</f>
        <v/>
      </c>
      <c r="N320" s="13">
        <f>MAX(0,N319+(B320-C320-0.5*D320))</f>
        <v/>
      </c>
      <c r="O320" s="13">
        <f>MIN(0,O319+(B320-C320+0.5*D320))</f>
        <v/>
      </c>
      <c r="P320">
        <f>IF(ABS(G320)&gt;1,P319+1,0)</f>
        <v/>
      </c>
      <c r="Q320">
        <f>IFS(OR(ABS(G320)&gt;3,N320&gt;5*D320,ABS(O320)&gt;5*D320,P320&gt;=5),"CRITICAL",OR(ABS(G320)&gt;2,P320&gt;=3,ABS(J320)&gt;3.5),"EARLY WARNING",ABS(G320)&gt;1,"WATCH",TRUE,"NORMAL")</f>
        <v/>
      </c>
    </row>
    <row r="321">
      <c r="A321" s="12" t="n">
        <v>45346</v>
      </c>
      <c r="B321" s="13">
        <f>Raw_Data!B321</f>
        <v/>
      </c>
      <c r="C321" s="13">
        <f>AVERAGE(B292:B321)</f>
        <v/>
      </c>
      <c r="D321" s="13">
        <f>STDEV.S(B292:B321)</f>
        <v/>
      </c>
      <c r="E321" s="13">
        <f>C321+3*D321</f>
        <v/>
      </c>
      <c r="F321" s="13">
        <f>C321-3*D321</f>
        <v/>
      </c>
      <c r="G321" s="15">
        <f>IF(D321=0,"",(B321-C321)/D321)</f>
        <v/>
      </c>
      <c r="H321" s="13">
        <f>MEDIAN(B292:B321)</f>
        <v/>
      </c>
      <c r="I321" s="13">
        <f>MEDIAN(ABS(B292:B321-H321))</f>
        <v/>
      </c>
      <c r="J321" s="15">
        <f>IF(I321=0,"",0.6745*(B321-H321)/I321)</f>
        <v/>
      </c>
      <c r="K321" s="13">
        <f>0.2*B321+0.8*K320</f>
        <v/>
      </c>
      <c r="L321" s="13">
        <f>C321+3*D321*SQRT(0.2/(2-0.2))</f>
        <v/>
      </c>
      <c r="M321" s="13">
        <f>C321-3*D321*SQRT(0.2/(2-0.2))</f>
        <v/>
      </c>
      <c r="N321" s="13">
        <f>MAX(0,N320+(B321-C321-0.5*D321))</f>
        <v/>
      </c>
      <c r="O321" s="13">
        <f>MIN(0,O320+(B321-C321+0.5*D321))</f>
        <v/>
      </c>
      <c r="P321">
        <f>IF(ABS(G321)&gt;1,P320+1,0)</f>
        <v/>
      </c>
      <c r="Q321">
        <f>IFS(OR(ABS(G321)&gt;3,N321&gt;5*D321,ABS(O321)&gt;5*D321,P321&gt;=5),"CRITICAL",OR(ABS(G321)&gt;2,P321&gt;=3,ABS(J321)&gt;3.5),"EARLY WARNING",ABS(G321)&gt;1,"WATCH",TRUE,"NORMAL")</f>
        <v/>
      </c>
    </row>
    <row r="322">
      <c r="A322" s="12" t="n">
        <v>45347</v>
      </c>
      <c r="B322" s="13">
        <f>Raw_Data!B322</f>
        <v/>
      </c>
      <c r="C322" s="13">
        <f>AVERAGE(B293:B322)</f>
        <v/>
      </c>
      <c r="D322" s="13">
        <f>STDEV.S(B293:B322)</f>
        <v/>
      </c>
      <c r="E322" s="13">
        <f>C322+3*D322</f>
        <v/>
      </c>
      <c r="F322" s="13">
        <f>C322-3*D322</f>
        <v/>
      </c>
      <c r="G322" s="15">
        <f>IF(D322=0,"",(B322-C322)/D322)</f>
        <v/>
      </c>
      <c r="H322" s="13">
        <f>MEDIAN(B293:B322)</f>
        <v/>
      </c>
      <c r="I322" s="13">
        <f>MEDIAN(ABS(B293:B322-H322))</f>
        <v/>
      </c>
      <c r="J322" s="15">
        <f>IF(I322=0,"",0.6745*(B322-H322)/I322)</f>
        <v/>
      </c>
      <c r="K322" s="13">
        <f>0.2*B322+0.8*K321</f>
        <v/>
      </c>
      <c r="L322" s="13">
        <f>C322+3*D322*SQRT(0.2/(2-0.2))</f>
        <v/>
      </c>
      <c r="M322" s="13">
        <f>C322-3*D322*SQRT(0.2/(2-0.2))</f>
        <v/>
      </c>
      <c r="N322" s="13">
        <f>MAX(0,N321+(B322-C322-0.5*D322))</f>
        <v/>
      </c>
      <c r="O322" s="13">
        <f>MIN(0,O321+(B322-C322+0.5*D322))</f>
        <v/>
      </c>
      <c r="P322">
        <f>IF(ABS(G322)&gt;1,P321+1,0)</f>
        <v/>
      </c>
      <c r="Q322">
        <f>IFS(OR(ABS(G322)&gt;3,N322&gt;5*D322,ABS(O322)&gt;5*D322,P322&gt;=5),"CRITICAL",OR(ABS(G322)&gt;2,P322&gt;=3,ABS(J322)&gt;3.5),"EARLY WARNING",ABS(G322)&gt;1,"WATCH",TRUE,"NORMAL")</f>
        <v/>
      </c>
    </row>
    <row r="323">
      <c r="A323" s="12" t="n">
        <v>45348</v>
      </c>
      <c r="B323" s="13">
        <f>Raw_Data!B323</f>
        <v/>
      </c>
      <c r="C323" s="13">
        <f>AVERAGE(B294:B323)</f>
        <v/>
      </c>
      <c r="D323" s="13">
        <f>STDEV.S(B294:B323)</f>
        <v/>
      </c>
      <c r="E323" s="13">
        <f>C323+3*D323</f>
        <v/>
      </c>
      <c r="F323" s="13">
        <f>C323-3*D323</f>
        <v/>
      </c>
      <c r="G323" s="15">
        <f>IF(D323=0,"",(B323-C323)/D323)</f>
        <v/>
      </c>
      <c r="H323" s="13">
        <f>MEDIAN(B294:B323)</f>
        <v/>
      </c>
      <c r="I323" s="13">
        <f>MEDIAN(ABS(B294:B323-H323))</f>
        <v/>
      </c>
      <c r="J323" s="15">
        <f>IF(I323=0,"",0.6745*(B323-H323)/I323)</f>
        <v/>
      </c>
      <c r="K323" s="13">
        <f>0.2*B323+0.8*K322</f>
        <v/>
      </c>
      <c r="L323" s="13">
        <f>C323+3*D323*SQRT(0.2/(2-0.2))</f>
        <v/>
      </c>
      <c r="M323" s="13">
        <f>C323-3*D323*SQRT(0.2/(2-0.2))</f>
        <v/>
      </c>
      <c r="N323" s="13">
        <f>MAX(0,N322+(B323-C323-0.5*D323))</f>
        <v/>
      </c>
      <c r="O323" s="13">
        <f>MIN(0,O322+(B323-C323+0.5*D323))</f>
        <v/>
      </c>
      <c r="P323">
        <f>IF(ABS(G323)&gt;1,P322+1,0)</f>
        <v/>
      </c>
      <c r="Q323">
        <f>IFS(OR(ABS(G323)&gt;3,N323&gt;5*D323,ABS(O323)&gt;5*D323,P323&gt;=5),"CRITICAL",OR(ABS(G323)&gt;2,P323&gt;=3,ABS(J323)&gt;3.5),"EARLY WARNING",ABS(G323)&gt;1,"WATCH",TRUE,"NORMAL")</f>
        <v/>
      </c>
    </row>
    <row r="324">
      <c r="A324" s="12" t="n">
        <v>45349</v>
      </c>
      <c r="B324" s="13">
        <f>Raw_Data!B324</f>
        <v/>
      </c>
      <c r="C324" s="13">
        <f>AVERAGE(B295:B324)</f>
        <v/>
      </c>
      <c r="D324" s="13">
        <f>STDEV.S(B295:B324)</f>
        <v/>
      </c>
      <c r="E324" s="13">
        <f>C324+3*D324</f>
        <v/>
      </c>
      <c r="F324" s="13">
        <f>C324-3*D324</f>
        <v/>
      </c>
      <c r="G324" s="15">
        <f>IF(D324=0,"",(B324-C324)/D324)</f>
        <v/>
      </c>
      <c r="H324" s="13">
        <f>MEDIAN(B295:B324)</f>
        <v/>
      </c>
      <c r="I324" s="13">
        <f>MEDIAN(ABS(B295:B324-H324))</f>
        <v/>
      </c>
      <c r="J324" s="15">
        <f>IF(I324=0,"",0.6745*(B324-H324)/I324)</f>
        <v/>
      </c>
      <c r="K324" s="13">
        <f>0.2*B324+0.8*K323</f>
        <v/>
      </c>
      <c r="L324" s="13">
        <f>C324+3*D324*SQRT(0.2/(2-0.2))</f>
        <v/>
      </c>
      <c r="M324" s="13">
        <f>C324-3*D324*SQRT(0.2/(2-0.2))</f>
        <v/>
      </c>
      <c r="N324" s="13">
        <f>MAX(0,N323+(B324-C324-0.5*D324))</f>
        <v/>
      </c>
      <c r="O324" s="13">
        <f>MIN(0,O323+(B324-C324+0.5*D324))</f>
        <v/>
      </c>
      <c r="P324">
        <f>IF(ABS(G324)&gt;1,P323+1,0)</f>
        <v/>
      </c>
      <c r="Q324">
        <f>IFS(OR(ABS(G324)&gt;3,N324&gt;5*D324,ABS(O324)&gt;5*D324,P324&gt;=5),"CRITICAL",OR(ABS(G324)&gt;2,P324&gt;=3,ABS(J324)&gt;3.5),"EARLY WARNING",ABS(G324)&gt;1,"WATCH",TRUE,"NORMAL")</f>
        <v/>
      </c>
    </row>
    <row r="325">
      <c r="A325" s="12" t="n">
        <v>45350</v>
      </c>
      <c r="B325" s="13">
        <f>Raw_Data!B325</f>
        <v/>
      </c>
      <c r="C325" s="13">
        <f>AVERAGE(B296:B325)</f>
        <v/>
      </c>
      <c r="D325" s="13">
        <f>STDEV.S(B296:B325)</f>
        <v/>
      </c>
      <c r="E325" s="13">
        <f>C325+3*D325</f>
        <v/>
      </c>
      <c r="F325" s="13">
        <f>C325-3*D325</f>
        <v/>
      </c>
      <c r="G325" s="15">
        <f>IF(D325=0,"",(B325-C325)/D325)</f>
        <v/>
      </c>
      <c r="H325" s="13">
        <f>MEDIAN(B296:B325)</f>
        <v/>
      </c>
      <c r="I325" s="13">
        <f>MEDIAN(ABS(B296:B325-H325))</f>
        <v/>
      </c>
      <c r="J325" s="15">
        <f>IF(I325=0,"",0.6745*(B325-H325)/I325)</f>
        <v/>
      </c>
      <c r="K325" s="13">
        <f>0.2*B325+0.8*K324</f>
        <v/>
      </c>
      <c r="L325" s="13">
        <f>C325+3*D325*SQRT(0.2/(2-0.2))</f>
        <v/>
      </c>
      <c r="M325" s="13">
        <f>C325-3*D325*SQRT(0.2/(2-0.2))</f>
        <v/>
      </c>
      <c r="N325" s="13">
        <f>MAX(0,N324+(B325-C325-0.5*D325))</f>
        <v/>
      </c>
      <c r="O325" s="13">
        <f>MIN(0,O324+(B325-C325+0.5*D325))</f>
        <v/>
      </c>
      <c r="P325">
        <f>IF(ABS(G325)&gt;1,P324+1,0)</f>
        <v/>
      </c>
      <c r="Q325">
        <f>IFS(OR(ABS(G325)&gt;3,N325&gt;5*D325,ABS(O325)&gt;5*D325,P325&gt;=5),"CRITICAL",OR(ABS(G325)&gt;2,P325&gt;=3,ABS(J325)&gt;3.5),"EARLY WARNING",ABS(G325)&gt;1,"WATCH",TRUE,"NORMAL")</f>
        <v/>
      </c>
    </row>
    <row r="326">
      <c r="A326" s="12" t="n">
        <v>45351</v>
      </c>
      <c r="B326" s="13">
        <f>Raw_Data!B326</f>
        <v/>
      </c>
      <c r="C326" s="13">
        <f>AVERAGE(B297:B326)</f>
        <v/>
      </c>
      <c r="D326" s="13">
        <f>STDEV.S(B297:B326)</f>
        <v/>
      </c>
      <c r="E326" s="13">
        <f>C326+3*D326</f>
        <v/>
      </c>
      <c r="F326" s="13">
        <f>C326-3*D326</f>
        <v/>
      </c>
      <c r="G326" s="15">
        <f>IF(D326=0,"",(B326-C326)/D326)</f>
        <v/>
      </c>
      <c r="H326" s="13">
        <f>MEDIAN(B297:B326)</f>
        <v/>
      </c>
      <c r="I326" s="13">
        <f>MEDIAN(ABS(B297:B326-H326))</f>
        <v/>
      </c>
      <c r="J326" s="15">
        <f>IF(I326=0,"",0.6745*(B326-H326)/I326)</f>
        <v/>
      </c>
      <c r="K326" s="13">
        <f>0.2*B326+0.8*K325</f>
        <v/>
      </c>
      <c r="L326" s="13">
        <f>C326+3*D326*SQRT(0.2/(2-0.2))</f>
        <v/>
      </c>
      <c r="M326" s="13">
        <f>C326-3*D326*SQRT(0.2/(2-0.2))</f>
        <v/>
      </c>
      <c r="N326" s="13">
        <f>MAX(0,N325+(B326-C326-0.5*D326))</f>
        <v/>
      </c>
      <c r="O326" s="13">
        <f>MIN(0,O325+(B326-C326+0.5*D326))</f>
        <v/>
      </c>
      <c r="P326">
        <f>IF(ABS(G326)&gt;1,P325+1,0)</f>
        <v/>
      </c>
      <c r="Q326">
        <f>IFS(OR(ABS(G326)&gt;3,N326&gt;5*D326,ABS(O326)&gt;5*D326,P326&gt;=5),"CRITICAL",OR(ABS(G326)&gt;2,P326&gt;=3,ABS(J326)&gt;3.5),"EARLY WARNING",ABS(G326)&gt;1,"WATCH",TRUE,"NORMAL")</f>
        <v/>
      </c>
    </row>
    <row r="327">
      <c r="A327" s="12" t="n">
        <v>45352</v>
      </c>
      <c r="B327" s="13">
        <f>Raw_Data!B327</f>
        <v/>
      </c>
      <c r="C327" s="13">
        <f>AVERAGE(B298:B327)</f>
        <v/>
      </c>
      <c r="D327" s="13">
        <f>STDEV.S(B298:B327)</f>
        <v/>
      </c>
      <c r="E327" s="13">
        <f>C327+3*D327</f>
        <v/>
      </c>
      <c r="F327" s="13">
        <f>C327-3*D327</f>
        <v/>
      </c>
      <c r="G327" s="15">
        <f>IF(D327=0,"",(B327-C327)/D327)</f>
        <v/>
      </c>
      <c r="H327" s="13">
        <f>MEDIAN(B298:B327)</f>
        <v/>
      </c>
      <c r="I327" s="13">
        <f>MEDIAN(ABS(B298:B327-H327))</f>
        <v/>
      </c>
      <c r="J327" s="15">
        <f>IF(I327=0,"",0.6745*(B327-H327)/I327)</f>
        <v/>
      </c>
      <c r="K327" s="13">
        <f>0.2*B327+0.8*K326</f>
        <v/>
      </c>
      <c r="L327" s="13">
        <f>C327+3*D327*SQRT(0.2/(2-0.2))</f>
        <v/>
      </c>
      <c r="M327" s="13">
        <f>C327-3*D327*SQRT(0.2/(2-0.2))</f>
        <v/>
      </c>
      <c r="N327" s="13">
        <f>MAX(0,N326+(B327-C327-0.5*D327))</f>
        <v/>
      </c>
      <c r="O327" s="13">
        <f>MIN(0,O326+(B327-C327+0.5*D327))</f>
        <v/>
      </c>
      <c r="P327">
        <f>IF(ABS(G327)&gt;1,P326+1,0)</f>
        <v/>
      </c>
      <c r="Q327">
        <f>IFS(OR(ABS(G327)&gt;3,N327&gt;5*D327,ABS(O327)&gt;5*D327,P327&gt;=5),"CRITICAL",OR(ABS(G327)&gt;2,P327&gt;=3,ABS(J327)&gt;3.5),"EARLY WARNING",ABS(G327)&gt;1,"WATCH",TRUE,"NORMAL")</f>
        <v/>
      </c>
    </row>
    <row r="328">
      <c r="A328" s="12" t="n">
        <v>45353</v>
      </c>
      <c r="B328" s="13">
        <f>Raw_Data!B328</f>
        <v/>
      </c>
      <c r="C328" s="13">
        <f>AVERAGE(B299:B328)</f>
        <v/>
      </c>
      <c r="D328" s="13">
        <f>STDEV.S(B299:B328)</f>
        <v/>
      </c>
      <c r="E328" s="13">
        <f>C328+3*D328</f>
        <v/>
      </c>
      <c r="F328" s="13">
        <f>C328-3*D328</f>
        <v/>
      </c>
      <c r="G328" s="15">
        <f>IF(D328=0,"",(B328-C328)/D328)</f>
        <v/>
      </c>
      <c r="H328" s="13">
        <f>MEDIAN(B299:B328)</f>
        <v/>
      </c>
      <c r="I328" s="13">
        <f>MEDIAN(ABS(B299:B328-H328))</f>
        <v/>
      </c>
      <c r="J328" s="15">
        <f>IF(I328=0,"",0.6745*(B328-H328)/I328)</f>
        <v/>
      </c>
      <c r="K328" s="13">
        <f>0.2*B328+0.8*K327</f>
        <v/>
      </c>
      <c r="L328" s="13">
        <f>C328+3*D328*SQRT(0.2/(2-0.2))</f>
        <v/>
      </c>
      <c r="M328" s="13">
        <f>C328-3*D328*SQRT(0.2/(2-0.2))</f>
        <v/>
      </c>
      <c r="N328" s="13">
        <f>MAX(0,N327+(B328-C328-0.5*D328))</f>
        <v/>
      </c>
      <c r="O328" s="13">
        <f>MIN(0,O327+(B328-C328+0.5*D328))</f>
        <v/>
      </c>
      <c r="P328">
        <f>IF(ABS(G328)&gt;1,P327+1,0)</f>
        <v/>
      </c>
      <c r="Q328">
        <f>IFS(OR(ABS(G328)&gt;3,N328&gt;5*D328,ABS(O328)&gt;5*D328,P328&gt;=5),"CRITICAL",OR(ABS(G328)&gt;2,P328&gt;=3,ABS(J328)&gt;3.5),"EARLY WARNING",ABS(G328)&gt;1,"WATCH",TRUE,"NORMAL")</f>
        <v/>
      </c>
    </row>
    <row r="329">
      <c r="A329" s="12" t="n">
        <v>45354</v>
      </c>
      <c r="B329" s="13">
        <f>Raw_Data!B329</f>
        <v/>
      </c>
      <c r="C329" s="13">
        <f>AVERAGE(B300:B329)</f>
        <v/>
      </c>
      <c r="D329" s="13">
        <f>STDEV.S(B300:B329)</f>
        <v/>
      </c>
      <c r="E329" s="13">
        <f>C329+3*D329</f>
        <v/>
      </c>
      <c r="F329" s="13">
        <f>C329-3*D329</f>
        <v/>
      </c>
      <c r="G329" s="15">
        <f>IF(D329=0,"",(B329-C329)/D329)</f>
        <v/>
      </c>
      <c r="H329" s="13">
        <f>MEDIAN(B300:B329)</f>
        <v/>
      </c>
      <c r="I329" s="13">
        <f>MEDIAN(ABS(B300:B329-H329))</f>
        <v/>
      </c>
      <c r="J329" s="15">
        <f>IF(I329=0,"",0.6745*(B329-H329)/I329)</f>
        <v/>
      </c>
      <c r="K329" s="13">
        <f>0.2*B329+0.8*K328</f>
        <v/>
      </c>
      <c r="L329" s="13">
        <f>C329+3*D329*SQRT(0.2/(2-0.2))</f>
        <v/>
      </c>
      <c r="M329" s="13">
        <f>C329-3*D329*SQRT(0.2/(2-0.2))</f>
        <v/>
      </c>
      <c r="N329" s="13">
        <f>MAX(0,N328+(B329-C329-0.5*D329))</f>
        <v/>
      </c>
      <c r="O329" s="13">
        <f>MIN(0,O328+(B329-C329+0.5*D329))</f>
        <v/>
      </c>
      <c r="P329">
        <f>IF(ABS(G329)&gt;1,P328+1,0)</f>
        <v/>
      </c>
      <c r="Q329">
        <f>IFS(OR(ABS(G329)&gt;3,N329&gt;5*D329,ABS(O329)&gt;5*D329,P329&gt;=5),"CRITICAL",OR(ABS(G329)&gt;2,P329&gt;=3,ABS(J329)&gt;3.5),"EARLY WARNING",ABS(G329)&gt;1,"WATCH",TRUE,"NORMAL")</f>
        <v/>
      </c>
    </row>
    <row r="330">
      <c r="A330" s="12" t="n">
        <v>45355</v>
      </c>
      <c r="B330" s="13">
        <f>Raw_Data!B330</f>
        <v/>
      </c>
      <c r="C330" s="13">
        <f>AVERAGE(B301:B330)</f>
        <v/>
      </c>
      <c r="D330" s="13">
        <f>STDEV.S(B301:B330)</f>
        <v/>
      </c>
      <c r="E330" s="13">
        <f>C330+3*D330</f>
        <v/>
      </c>
      <c r="F330" s="13">
        <f>C330-3*D330</f>
        <v/>
      </c>
      <c r="G330" s="15">
        <f>IF(D330=0,"",(B330-C330)/D330)</f>
        <v/>
      </c>
      <c r="H330" s="13">
        <f>MEDIAN(B301:B330)</f>
        <v/>
      </c>
      <c r="I330" s="13">
        <f>MEDIAN(ABS(B301:B330-H330))</f>
        <v/>
      </c>
      <c r="J330" s="15">
        <f>IF(I330=0,"",0.6745*(B330-H330)/I330)</f>
        <v/>
      </c>
      <c r="K330" s="13">
        <f>0.2*B330+0.8*K329</f>
        <v/>
      </c>
      <c r="L330" s="13">
        <f>C330+3*D330*SQRT(0.2/(2-0.2))</f>
        <v/>
      </c>
      <c r="M330" s="13">
        <f>C330-3*D330*SQRT(0.2/(2-0.2))</f>
        <v/>
      </c>
      <c r="N330" s="13">
        <f>MAX(0,N329+(B330-C330-0.5*D330))</f>
        <v/>
      </c>
      <c r="O330" s="13">
        <f>MIN(0,O329+(B330-C330+0.5*D330))</f>
        <v/>
      </c>
      <c r="P330">
        <f>IF(ABS(G330)&gt;1,P329+1,0)</f>
        <v/>
      </c>
      <c r="Q330">
        <f>IFS(OR(ABS(G330)&gt;3,N330&gt;5*D330,ABS(O330)&gt;5*D330,P330&gt;=5),"CRITICAL",OR(ABS(G330)&gt;2,P330&gt;=3,ABS(J330)&gt;3.5),"EARLY WARNING",ABS(G330)&gt;1,"WATCH",TRUE,"NORMAL")</f>
        <v/>
      </c>
    </row>
    <row r="331">
      <c r="A331" s="12" t="n">
        <v>45356</v>
      </c>
      <c r="B331" s="13">
        <f>Raw_Data!B331</f>
        <v/>
      </c>
      <c r="C331" s="13">
        <f>AVERAGE(B302:B331)</f>
        <v/>
      </c>
      <c r="D331" s="13">
        <f>STDEV.S(B302:B331)</f>
        <v/>
      </c>
      <c r="E331" s="13">
        <f>C331+3*D331</f>
        <v/>
      </c>
      <c r="F331" s="13">
        <f>C331-3*D331</f>
        <v/>
      </c>
      <c r="G331" s="15">
        <f>IF(D331=0,"",(B331-C331)/D331)</f>
        <v/>
      </c>
      <c r="H331" s="13">
        <f>MEDIAN(B302:B331)</f>
        <v/>
      </c>
      <c r="I331" s="13">
        <f>MEDIAN(ABS(B302:B331-H331))</f>
        <v/>
      </c>
      <c r="J331" s="15">
        <f>IF(I331=0,"",0.6745*(B331-H331)/I331)</f>
        <v/>
      </c>
      <c r="K331" s="13">
        <f>0.2*B331+0.8*K330</f>
        <v/>
      </c>
      <c r="L331" s="13">
        <f>C331+3*D331*SQRT(0.2/(2-0.2))</f>
        <v/>
      </c>
      <c r="M331" s="13">
        <f>C331-3*D331*SQRT(0.2/(2-0.2))</f>
        <v/>
      </c>
      <c r="N331" s="13">
        <f>MAX(0,N330+(B331-C331-0.5*D331))</f>
        <v/>
      </c>
      <c r="O331" s="13">
        <f>MIN(0,O330+(B331-C331+0.5*D331))</f>
        <v/>
      </c>
      <c r="P331">
        <f>IF(ABS(G331)&gt;1,P330+1,0)</f>
        <v/>
      </c>
      <c r="Q331">
        <f>IFS(OR(ABS(G331)&gt;3,N331&gt;5*D331,ABS(O331)&gt;5*D331,P331&gt;=5),"CRITICAL",OR(ABS(G331)&gt;2,P331&gt;=3,ABS(J331)&gt;3.5),"EARLY WARNING",ABS(G331)&gt;1,"WATCH",TRUE,"NORMAL")</f>
        <v/>
      </c>
    </row>
    <row r="332">
      <c r="A332" s="12" t="n">
        <v>45357</v>
      </c>
      <c r="B332" s="13">
        <f>Raw_Data!B332</f>
        <v/>
      </c>
      <c r="C332" s="13">
        <f>AVERAGE(B303:B332)</f>
        <v/>
      </c>
      <c r="D332" s="13">
        <f>STDEV.S(B303:B332)</f>
        <v/>
      </c>
      <c r="E332" s="13">
        <f>C332+3*D332</f>
        <v/>
      </c>
      <c r="F332" s="13">
        <f>C332-3*D332</f>
        <v/>
      </c>
      <c r="G332" s="15">
        <f>IF(D332=0,"",(B332-C332)/D332)</f>
        <v/>
      </c>
      <c r="H332" s="13">
        <f>MEDIAN(B303:B332)</f>
        <v/>
      </c>
      <c r="I332" s="13">
        <f>MEDIAN(ABS(B303:B332-H332))</f>
        <v/>
      </c>
      <c r="J332" s="15">
        <f>IF(I332=0,"",0.6745*(B332-H332)/I332)</f>
        <v/>
      </c>
      <c r="K332" s="13">
        <f>0.2*B332+0.8*K331</f>
        <v/>
      </c>
      <c r="L332" s="13">
        <f>C332+3*D332*SQRT(0.2/(2-0.2))</f>
        <v/>
      </c>
      <c r="M332" s="13">
        <f>C332-3*D332*SQRT(0.2/(2-0.2))</f>
        <v/>
      </c>
      <c r="N332" s="13">
        <f>MAX(0,N331+(B332-C332-0.5*D332))</f>
        <v/>
      </c>
      <c r="O332" s="13">
        <f>MIN(0,O331+(B332-C332+0.5*D332))</f>
        <v/>
      </c>
      <c r="P332">
        <f>IF(ABS(G332)&gt;1,P331+1,0)</f>
        <v/>
      </c>
      <c r="Q332">
        <f>IFS(OR(ABS(G332)&gt;3,N332&gt;5*D332,ABS(O332)&gt;5*D332,P332&gt;=5),"CRITICAL",OR(ABS(G332)&gt;2,P332&gt;=3,ABS(J332)&gt;3.5),"EARLY WARNING",ABS(G332)&gt;1,"WATCH",TRUE,"NORMAL")</f>
        <v/>
      </c>
    </row>
    <row r="333">
      <c r="A333" s="12" t="n">
        <v>45358</v>
      </c>
      <c r="B333" s="13">
        <f>Raw_Data!B333</f>
        <v/>
      </c>
      <c r="C333" s="13">
        <f>AVERAGE(B304:B333)</f>
        <v/>
      </c>
      <c r="D333" s="13">
        <f>STDEV.S(B304:B333)</f>
        <v/>
      </c>
      <c r="E333" s="13">
        <f>C333+3*D333</f>
        <v/>
      </c>
      <c r="F333" s="13">
        <f>C333-3*D333</f>
        <v/>
      </c>
      <c r="G333" s="15">
        <f>IF(D333=0,"",(B333-C333)/D333)</f>
        <v/>
      </c>
      <c r="H333" s="13">
        <f>MEDIAN(B304:B333)</f>
        <v/>
      </c>
      <c r="I333" s="13">
        <f>MEDIAN(ABS(B304:B333-H333))</f>
        <v/>
      </c>
      <c r="J333" s="15">
        <f>IF(I333=0,"",0.6745*(B333-H333)/I333)</f>
        <v/>
      </c>
      <c r="K333" s="13">
        <f>0.2*B333+0.8*K332</f>
        <v/>
      </c>
      <c r="L333" s="13">
        <f>C333+3*D333*SQRT(0.2/(2-0.2))</f>
        <v/>
      </c>
      <c r="M333" s="13">
        <f>C333-3*D333*SQRT(0.2/(2-0.2))</f>
        <v/>
      </c>
      <c r="N333" s="13">
        <f>MAX(0,N332+(B333-C333-0.5*D333))</f>
        <v/>
      </c>
      <c r="O333" s="13">
        <f>MIN(0,O332+(B333-C333+0.5*D333))</f>
        <v/>
      </c>
      <c r="P333">
        <f>IF(ABS(G333)&gt;1,P332+1,0)</f>
        <v/>
      </c>
      <c r="Q333">
        <f>IFS(OR(ABS(G333)&gt;3,N333&gt;5*D333,ABS(O333)&gt;5*D333,P333&gt;=5),"CRITICAL",OR(ABS(G333)&gt;2,P333&gt;=3,ABS(J333)&gt;3.5),"EARLY WARNING",ABS(G333)&gt;1,"WATCH",TRUE,"NORMAL")</f>
        <v/>
      </c>
    </row>
    <row r="334">
      <c r="A334" s="12" t="n">
        <v>45359</v>
      </c>
      <c r="B334" s="13">
        <f>Raw_Data!B334</f>
        <v/>
      </c>
      <c r="C334" s="13">
        <f>AVERAGE(B305:B334)</f>
        <v/>
      </c>
      <c r="D334" s="13">
        <f>STDEV.S(B305:B334)</f>
        <v/>
      </c>
      <c r="E334" s="13">
        <f>C334+3*D334</f>
        <v/>
      </c>
      <c r="F334" s="13">
        <f>C334-3*D334</f>
        <v/>
      </c>
      <c r="G334" s="15">
        <f>IF(D334=0,"",(B334-C334)/D334)</f>
        <v/>
      </c>
      <c r="H334" s="13">
        <f>MEDIAN(B305:B334)</f>
        <v/>
      </c>
      <c r="I334" s="13">
        <f>MEDIAN(ABS(B305:B334-H334))</f>
        <v/>
      </c>
      <c r="J334" s="15">
        <f>IF(I334=0,"",0.6745*(B334-H334)/I334)</f>
        <v/>
      </c>
      <c r="K334" s="13">
        <f>0.2*B334+0.8*K333</f>
        <v/>
      </c>
      <c r="L334" s="13">
        <f>C334+3*D334*SQRT(0.2/(2-0.2))</f>
        <v/>
      </c>
      <c r="M334" s="13">
        <f>C334-3*D334*SQRT(0.2/(2-0.2))</f>
        <v/>
      </c>
      <c r="N334" s="13">
        <f>MAX(0,N333+(B334-C334-0.5*D334))</f>
        <v/>
      </c>
      <c r="O334" s="13">
        <f>MIN(0,O333+(B334-C334+0.5*D334))</f>
        <v/>
      </c>
      <c r="P334">
        <f>IF(ABS(G334)&gt;1,P333+1,0)</f>
        <v/>
      </c>
      <c r="Q334">
        <f>IFS(OR(ABS(G334)&gt;3,N334&gt;5*D334,ABS(O334)&gt;5*D334,P334&gt;=5),"CRITICAL",OR(ABS(G334)&gt;2,P334&gt;=3,ABS(J334)&gt;3.5),"EARLY WARNING",ABS(G334)&gt;1,"WATCH",TRUE,"NORMAL")</f>
        <v/>
      </c>
    </row>
    <row r="335">
      <c r="A335" s="12" t="n">
        <v>45360</v>
      </c>
      <c r="B335" s="13">
        <f>Raw_Data!B335</f>
        <v/>
      </c>
      <c r="C335" s="13">
        <f>AVERAGE(B306:B335)</f>
        <v/>
      </c>
      <c r="D335" s="13">
        <f>STDEV.S(B306:B335)</f>
        <v/>
      </c>
      <c r="E335" s="13">
        <f>C335+3*D335</f>
        <v/>
      </c>
      <c r="F335" s="13">
        <f>C335-3*D335</f>
        <v/>
      </c>
      <c r="G335" s="15">
        <f>IF(D335=0,"",(B335-C335)/D335)</f>
        <v/>
      </c>
      <c r="H335" s="13">
        <f>MEDIAN(B306:B335)</f>
        <v/>
      </c>
      <c r="I335" s="13">
        <f>MEDIAN(ABS(B306:B335-H335))</f>
        <v/>
      </c>
      <c r="J335" s="15">
        <f>IF(I335=0,"",0.6745*(B335-H335)/I335)</f>
        <v/>
      </c>
      <c r="K335" s="13">
        <f>0.2*B335+0.8*K334</f>
        <v/>
      </c>
      <c r="L335" s="13">
        <f>C335+3*D335*SQRT(0.2/(2-0.2))</f>
        <v/>
      </c>
      <c r="M335" s="13">
        <f>C335-3*D335*SQRT(0.2/(2-0.2))</f>
        <v/>
      </c>
      <c r="N335" s="13">
        <f>MAX(0,N334+(B335-C335-0.5*D335))</f>
        <v/>
      </c>
      <c r="O335" s="13">
        <f>MIN(0,O334+(B335-C335+0.5*D335))</f>
        <v/>
      </c>
      <c r="P335">
        <f>IF(ABS(G335)&gt;1,P334+1,0)</f>
        <v/>
      </c>
      <c r="Q335">
        <f>IFS(OR(ABS(G335)&gt;3,N335&gt;5*D335,ABS(O335)&gt;5*D335,P335&gt;=5),"CRITICAL",OR(ABS(G335)&gt;2,P335&gt;=3,ABS(J335)&gt;3.5),"EARLY WARNING",ABS(G335)&gt;1,"WATCH",TRUE,"NORMAL")</f>
        <v/>
      </c>
    </row>
    <row r="336">
      <c r="A336" s="12" t="n">
        <v>45361</v>
      </c>
      <c r="B336" s="13">
        <f>Raw_Data!B336</f>
        <v/>
      </c>
      <c r="C336" s="13">
        <f>AVERAGE(B307:B336)</f>
        <v/>
      </c>
      <c r="D336" s="13">
        <f>STDEV.S(B307:B336)</f>
        <v/>
      </c>
      <c r="E336" s="13">
        <f>C336+3*D336</f>
        <v/>
      </c>
      <c r="F336" s="13">
        <f>C336-3*D336</f>
        <v/>
      </c>
      <c r="G336" s="15">
        <f>IF(D336=0,"",(B336-C336)/D336)</f>
        <v/>
      </c>
      <c r="H336" s="13">
        <f>MEDIAN(B307:B336)</f>
        <v/>
      </c>
      <c r="I336" s="13">
        <f>MEDIAN(ABS(B307:B336-H336))</f>
        <v/>
      </c>
      <c r="J336" s="15">
        <f>IF(I336=0,"",0.6745*(B336-H336)/I336)</f>
        <v/>
      </c>
      <c r="K336" s="13">
        <f>0.2*B336+0.8*K335</f>
        <v/>
      </c>
      <c r="L336" s="13">
        <f>C336+3*D336*SQRT(0.2/(2-0.2))</f>
        <v/>
      </c>
      <c r="M336" s="13">
        <f>C336-3*D336*SQRT(0.2/(2-0.2))</f>
        <v/>
      </c>
      <c r="N336" s="13">
        <f>MAX(0,N335+(B336-C336-0.5*D336))</f>
        <v/>
      </c>
      <c r="O336" s="13">
        <f>MIN(0,O335+(B336-C336+0.5*D336))</f>
        <v/>
      </c>
      <c r="P336">
        <f>IF(ABS(G336)&gt;1,P335+1,0)</f>
        <v/>
      </c>
      <c r="Q336">
        <f>IFS(OR(ABS(G336)&gt;3,N336&gt;5*D336,ABS(O336)&gt;5*D336,P336&gt;=5),"CRITICAL",OR(ABS(G336)&gt;2,P336&gt;=3,ABS(J336)&gt;3.5),"EARLY WARNING",ABS(G336)&gt;1,"WATCH",TRUE,"NORMAL")</f>
        <v/>
      </c>
    </row>
    <row r="337">
      <c r="A337" s="12" t="n">
        <v>45362</v>
      </c>
      <c r="B337" s="13">
        <f>Raw_Data!B337</f>
        <v/>
      </c>
      <c r="C337" s="13">
        <f>AVERAGE(B308:B337)</f>
        <v/>
      </c>
      <c r="D337" s="13">
        <f>STDEV.S(B308:B337)</f>
        <v/>
      </c>
      <c r="E337" s="13">
        <f>C337+3*D337</f>
        <v/>
      </c>
      <c r="F337" s="13">
        <f>C337-3*D337</f>
        <v/>
      </c>
      <c r="G337" s="15">
        <f>IF(D337=0,"",(B337-C337)/D337)</f>
        <v/>
      </c>
      <c r="H337" s="13">
        <f>MEDIAN(B308:B337)</f>
        <v/>
      </c>
      <c r="I337" s="13">
        <f>MEDIAN(ABS(B308:B337-H337))</f>
        <v/>
      </c>
      <c r="J337" s="15">
        <f>IF(I337=0,"",0.6745*(B337-H337)/I337)</f>
        <v/>
      </c>
      <c r="K337" s="13">
        <f>0.2*B337+0.8*K336</f>
        <v/>
      </c>
      <c r="L337" s="13">
        <f>C337+3*D337*SQRT(0.2/(2-0.2))</f>
        <v/>
      </c>
      <c r="M337" s="13">
        <f>C337-3*D337*SQRT(0.2/(2-0.2))</f>
        <v/>
      </c>
      <c r="N337" s="13">
        <f>MAX(0,N336+(B337-C337-0.5*D337))</f>
        <v/>
      </c>
      <c r="O337" s="13">
        <f>MIN(0,O336+(B337-C337+0.5*D337))</f>
        <v/>
      </c>
      <c r="P337">
        <f>IF(ABS(G337)&gt;1,P336+1,0)</f>
        <v/>
      </c>
      <c r="Q337">
        <f>IFS(OR(ABS(G337)&gt;3,N337&gt;5*D337,ABS(O337)&gt;5*D337,P337&gt;=5),"CRITICAL",OR(ABS(G337)&gt;2,P337&gt;=3,ABS(J337)&gt;3.5),"EARLY WARNING",ABS(G337)&gt;1,"WATCH",TRUE,"NORMAL")</f>
        <v/>
      </c>
    </row>
    <row r="338">
      <c r="A338" s="12" t="n">
        <v>45363</v>
      </c>
      <c r="B338" s="13">
        <f>Raw_Data!B338</f>
        <v/>
      </c>
      <c r="C338" s="13">
        <f>AVERAGE(B309:B338)</f>
        <v/>
      </c>
      <c r="D338" s="13">
        <f>STDEV.S(B309:B338)</f>
        <v/>
      </c>
      <c r="E338" s="13">
        <f>C338+3*D338</f>
        <v/>
      </c>
      <c r="F338" s="13">
        <f>C338-3*D338</f>
        <v/>
      </c>
      <c r="G338" s="15">
        <f>IF(D338=0,"",(B338-C338)/D338)</f>
        <v/>
      </c>
      <c r="H338" s="13">
        <f>MEDIAN(B309:B338)</f>
        <v/>
      </c>
      <c r="I338" s="13">
        <f>MEDIAN(ABS(B309:B338-H338))</f>
        <v/>
      </c>
      <c r="J338" s="15">
        <f>IF(I338=0,"",0.6745*(B338-H338)/I338)</f>
        <v/>
      </c>
      <c r="K338" s="13">
        <f>0.2*B338+0.8*K337</f>
        <v/>
      </c>
      <c r="L338" s="13">
        <f>C338+3*D338*SQRT(0.2/(2-0.2))</f>
        <v/>
      </c>
      <c r="M338" s="13">
        <f>C338-3*D338*SQRT(0.2/(2-0.2))</f>
        <v/>
      </c>
      <c r="N338" s="13">
        <f>MAX(0,N337+(B338-C338-0.5*D338))</f>
        <v/>
      </c>
      <c r="O338" s="13">
        <f>MIN(0,O337+(B338-C338+0.5*D338))</f>
        <v/>
      </c>
      <c r="P338">
        <f>IF(ABS(G338)&gt;1,P337+1,0)</f>
        <v/>
      </c>
      <c r="Q338">
        <f>IFS(OR(ABS(G338)&gt;3,N338&gt;5*D338,ABS(O338)&gt;5*D338,P338&gt;=5),"CRITICAL",OR(ABS(G338)&gt;2,P338&gt;=3,ABS(J338)&gt;3.5),"EARLY WARNING",ABS(G338)&gt;1,"WATCH",TRUE,"NORMAL")</f>
        <v/>
      </c>
    </row>
    <row r="339">
      <c r="A339" s="12" t="n">
        <v>45364</v>
      </c>
      <c r="B339" s="13">
        <f>Raw_Data!B339</f>
        <v/>
      </c>
      <c r="C339" s="13">
        <f>AVERAGE(B310:B339)</f>
        <v/>
      </c>
      <c r="D339" s="13">
        <f>STDEV.S(B310:B339)</f>
        <v/>
      </c>
      <c r="E339" s="13">
        <f>C339+3*D339</f>
        <v/>
      </c>
      <c r="F339" s="13">
        <f>C339-3*D339</f>
        <v/>
      </c>
      <c r="G339" s="15">
        <f>IF(D339=0,"",(B339-C339)/D339)</f>
        <v/>
      </c>
      <c r="H339" s="13">
        <f>MEDIAN(B310:B339)</f>
        <v/>
      </c>
      <c r="I339" s="13">
        <f>MEDIAN(ABS(B310:B339-H339))</f>
        <v/>
      </c>
      <c r="J339" s="15">
        <f>IF(I339=0,"",0.6745*(B339-H339)/I339)</f>
        <v/>
      </c>
      <c r="K339" s="13">
        <f>0.2*B339+0.8*K338</f>
        <v/>
      </c>
      <c r="L339" s="13">
        <f>C339+3*D339*SQRT(0.2/(2-0.2))</f>
        <v/>
      </c>
      <c r="M339" s="13">
        <f>C339-3*D339*SQRT(0.2/(2-0.2))</f>
        <v/>
      </c>
      <c r="N339" s="13">
        <f>MAX(0,N338+(B339-C339-0.5*D339))</f>
        <v/>
      </c>
      <c r="O339" s="13">
        <f>MIN(0,O338+(B339-C339+0.5*D339))</f>
        <v/>
      </c>
      <c r="P339">
        <f>IF(ABS(G339)&gt;1,P338+1,0)</f>
        <v/>
      </c>
      <c r="Q339">
        <f>IFS(OR(ABS(G339)&gt;3,N339&gt;5*D339,ABS(O339)&gt;5*D339,P339&gt;=5),"CRITICAL",OR(ABS(G339)&gt;2,P339&gt;=3,ABS(J339)&gt;3.5),"EARLY WARNING",ABS(G339)&gt;1,"WATCH",TRUE,"NORMAL")</f>
        <v/>
      </c>
    </row>
    <row r="340">
      <c r="A340" s="12" t="n">
        <v>45365</v>
      </c>
      <c r="B340" s="13">
        <f>Raw_Data!B340</f>
        <v/>
      </c>
      <c r="C340" s="13">
        <f>AVERAGE(B311:B340)</f>
        <v/>
      </c>
      <c r="D340" s="13">
        <f>STDEV.S(B311:B340)</f>
        <v/>
      </c>
      <c r="E340" s="13">
        <f>C340+3*D340</f>
        <v/>
      </c>
      <c r="F340" s="13">
        <f>C340-3*D340</f>
        <v/>
      </c>
      <c r="G340" s="15">
        <f>IF(D340=0,"",(B340-C340)/D340)</f>
        <v/>
      </c>
      <c r="H340" s="13">
        <f>MEDIAN(B311:B340)</f>
        <v/>
      </c>
      <c r="I340" s="13">
        <f>MEDIAN(ABS(B311:B340-H340))</f>
        <v/>
      </c>
      <c r="J340" s="15">
        <f>IF(I340=0,"",0.6745*(B340-H340)/I340)</f>
        <v/>
      </c>
      <c r="K340" s="13">
        <f>0.2*B340+0.8*K339</f>
        <v/>
      </c>
      <c r="L340" s="13">
        <f>C340+3*D340*SQRT(0.2/(2-0.2))</f>
        <v/>
      </c>
      <c r="M340" s="13">
        <f>C340-3*D340*SQRT(0.2/(2-0.2))</f>
        <v/>
      </c>
      <c r="N340" s="13">
        <f>MAX(0,N339+(B340-C340-0.5*D340))</f>
        <v/>
      </c>
      <c r="O340" s="13">
        <f>MIN(0,O339+(B340-C340+0.5*D340))</f>
        <v/>
      </c>
      <c r="P340">
        <f>IF(ABS(G340)&gt;1,P339+1,0)</f>
        <v/>
      </c>
      <c r="Q340">
        <f>IFS(OR(ABS(G340)&gt;3,N340&gt;5*D340,ABS(O340)&gt;5*D340,P340&gt;=5),"CRITICAL",OR(ABS(G340)&gt;2,P340&gt;=3,ABS(J340)&gt;3.5),"EARLY WARNING",ABS(G340)&gt;1,"WATCH",TRUE,"NORMAL")</f>
        <v/>
      </c>
    </row>
    <row r="341">
      <c r="A341" s="12" t="n">
        <v>45366</v>
      </c>
      <c r="B341" s="13">
        <f>Raw_Data!B341</f>
        <v/>
      </c>
      <c r="C341" s="13">
        <f>AVERAGE(B312:B341)</f>
        <v/>
      </c>
      <c r="D341" s="13">
        <f>STDEV.S(B312:B341)</f>
        <v/>
      </c>
      <c r="E341" s="13">
        <f>C341+3*D341</f>
        <v/>
      </c>
      <c r="F341" s="13">
        <f>C341-3*D341</f>
        <v/>
      </c>
      <c r="G341" s="15">
        <f>IF(D341=0,"",(B341-C341)/D341)</f>
        <v/>
      </c>
      <c r="H341" s="13">
        <f>MEDIAN(B312:B341)</f>
        <v/>
      </c>
      <c r="I341" s="13">
        <f>MEDIAN(ABS(B312:B341-H341))</f>
        <v/>
      </c>
      <c r="J341" s="15">
        <f>IF(I341=0,"",0.6745*(B341-H341)/I341)</f>
        <v/>
      </c>
      <c r="K341" s="13">
        <f>0.2*B341+0.8*K340</f>
        <v/>
      </c>
      <c r="L341" s="13">
        <f>C341+3*D341*SQRT(0.2/(2-0.2))</f>
        <v/>
      </c>
      <c r="M341" s="13">
        <f>C341-3*D341*SQRT(0.2/(2-0.2))</f>
        <v/>
      </c>
      <c r="N341" s="13">
        <f>MAX(0,N340+(B341-C341-0.5*D341))</f>
        <v/>
      </c>
      <c r="O341" s="13">
        <f>MIN(0,O340+(B341-C341+0.5*D341))</f>
        <v/>
      </c>
      <c r="P341">
        <f>IF(ABS(G341)&gt;1,P340+1,0)</f>
        <v/>
      </c>
      <c r="Q341">
        <f>IFS(OR(ABS(G341)&gt;3,N341&gt;5*D341,ABS(O341)&gt;5*D341,P341&gt;=5),"CRITICAL",OR(ABS(G341)&gt;2,P341&gt;=3,ABS(J341)&gt;3.5),"EARLY WARNING",ABS(G341)&gt;1,"WATCH",TRUE,"NORMAL")</f>
        <v/>
      </c>
    </row>
    <row r="342">
      <c r="A342" s="12" t="n">
        <v>45367</v>
      </c>
      <c r="B342" s="13">
        <f>Raw_Data!B342</f>
        <v/>
      </c>
      <c r="C342" s="13">
        <f>AVERAGE(B313:B342)</f>
        <v/>
      </c>
      <c r="D342" s="13">
        <f>STDEV.S(B313:B342)</f>
        <v/>
      </c>
      <c r="E342" s="13">
        <f>C342+3*D342</f>
        <v/>
      </c>
      <c r="F342" s="13">
        <f>C342-3*D342</f>
        <v/>
      </c>
      <c r="G342" s="15">
        <f>IF(D342=0,"",(B342-C342)/D342)</f>
        <v/>
      </c>
      <c r="H342" s="13">
        <f>MEDIAN(B313:B342)</f>
        <v/>
      </c>
      <c r="I342" s="13">
        <f>MEDIAN(ABS(B313:B342-H342))</f>
        <v/>
      </c>
      <c r="J342" s="15">
        <f>IF(I342=0,"",0.6745*(B342-H342)/I342)</f>
        <v/>
      </c>
      <c r="K342" s="13">
        <f>0.2*B342+0.8*K341</f>
        <v/>
      </c>
      <c r="L342" s="13">
        <f>C342+3*D342*SQRT(0.2/(2-0.2))</f>
        <v/>
      </c>
      <c r="M342" s="13">
        <f>C342-3*D342*SQRT(0.2/(2-0.2))</f>
        <v/>
      </c>
      <c r="N342" s="13">
        <f>MAX(0,N341+(B342-C342-0.5*D342))</f>
        <v/>
      </c>
      <c r="O342" s="13">
        <f>MIN(0,O341+(B342-C342+0.5*D342))</f>
        <v/>
      </c>
      <c r="P342">
        <f>IF(ABS(G342)&gt;1,P341+1,0)</f>
        <v/>
      </c>
      <c r="Q342">
        <f>IFS(OR(ABS(G342)&gt;3,N342&gt;5*D342,ABS(O342)&gt;5*D342,P342&gt;=5),"CRITICAL",OR(ABS(G342)&gt;2,P342&gt;=3,ABS(J342)&gt;3.5),"EARLY WARNING",ABS(G342)&gt;1,"WATCH",TRUE,"NORMAL")</f>
        <v/>
      </c>
    </row>
    <row r="343">
      <c r="A343" s="12" t="n">
        <v>45368</v>
      </c>
      <c r="B343" s="13">
        <f>Raw_Data!B343</f>
        <v/>
      </c>
      <c r="C343" s="13">
        <f>AVERAGE(B314:B343)</f>
        <v/>
      </c>
      <c r="D343" s="13">
        <f>STDEV.S(B314:B343)</f>
        <v/>
      </c>
      <c r="E343" s="13">
        <f>C343+3*D343</f>
        <v/>
      </c>
      <c r="F343" s="13">
        <f>C343-3*D343</f>
        <v/>
      </c>
      <c r="G343" s="15">
        <f>IF(D343=0,"",(B343-C343)/D343)</f>
        <v/>
      </c>
      <c r="H343" s="13">
        <f>MEDIAN(B314:B343)</f>
        <v/>
      </c>
      <c r="I343" s="13">
        <f>MEDIAN(ABS(B314:B343-H343))</f>
        <v/>
      </c>
      <c r="J343" s="15">
        <f>IF(I343=0,"",0.6745*(B343-H343)/I343)</f>
        <v/>
      </c>
      <c r="K343" s="13">
        <f>0.2*B343+0.8*K342</f>
        <v/>
      </c>
      <c r="L343" s="13">
        <f>C343+3*D343*SQRT(0.2/(2-0.2))</f>
        <v/>
      </c>
      <c r="M343" s="13">
        <f>C343-3*D343*SQRT(0.2/(2-0.2))</f>
        <v/>
      </c>
      <c r="N343" s="13">
        <f>MAX(0,N342+(B343-C343-0.5*D343))</f>
        <v/>
      </c>
      <c r="O343" s="13">
        <f>MIN(0,O342+(B343-C343+0.5*D343))</f>
        <v/>
      </c>
      <c r="P343">
        <f>IF(ABS(G343)&gt;1,P342+1,0)</f>
        <v/>
      </c>
      <c r="Q343">
        <f>IFS(OR(ABS(G343)&gt;3,N343&gt;5*D343,ABS(O343)&gt;5*D343,P343&gt;=5),"CRITICAL",OR(ABS(G343)&gt;2,P343&gt;=3,ABS(J343)&gt;3.5),"EARLY WARNING",ABS(G343)&gt;1,"WATCH",TRUE,"NORMAL")</f>
        <v/>
      </c>
    </row>
    <row r="344">
      <c r="A344" s="12" t="n">
        <v>45369</v>
      </c>
      <c r="B344" s="13">
        <f>Raw_Data!B344</f>
        <v/>
      </c>
      <c r="C344" s="13">
        <f>AVERAGE(B315:B344)</f>
        <v/>
      </c>
      <c r="D344" s="13">
        <f>STDEV.S(B315:B344)</f>
        <v/>
      </c>
      <c r="E344" s="13">
        <f>C344+3*D344</f>
        <v/>
      </c>
      <c r="F344" s="13">
        <f>C344-3*D344</f>
        <v/>
      </c>
      <c r="G344" s="15">
        <f>IF(D344=0,"",(B344-C344)/D344)</f>
        <v/>
      </c>
      <c r="H344" s="13">
        <f>MEDIAN(B315:B344)</f>
        <v/>
      </c>
      <c r="I344" s="13">
        <f>MEDIAN(ABS(B315:B344-H344))</f>
        <v/>
      </c>
      <c r="J344" s="15">
        <f>IF(I344=0,"",0.6745*(B344-H344)/I344)</f>
        <v/>
      </c>
      <c r="K344" s="13">
        <f>0.2*B344+0.8*K343</f>
        <v/>
      </c>
      <c r="L344" s="13">
        <f>C344+3*D344*SQRT(0.2/(2-0.2))</f>
        <v/>
      </c>
      <c r="M344" s="13">
        <f>C344-3*D344*SQRT(0.2/(2-0.2))</f>
        <v/>
      </c>
      <c r="N344" s="13">
        <f>MAX(0,N343+(B344-C344-0.5*D344))</f>
        <v/>
      </c>
      <c r="O344" s="13">
        <f>MIN(0,O343+(B344-C344+0.5*D344))</f>
        <v/>
      </c>
      <c r="P344">
        <f>IF(ABS(G344)&gt;1,P343+1,0)</f>
        <v/>
      </c>
      <c r="Q344">
        <f>IFS(OR(ABS(G344)&gt;3,N344&gt;5*D344,ABS(O344)&gt;5*D344,P344&gt;=5),"CRITICAL",OR(ABS(G344)&gt;2,P344&gt;=3,ABS(J344)&gt;3.5),"EARLY WARNING",ABS(G344)&gt;1,"WATCH",TRUE,"NORMAL")</f>
        <v/>
      </c>
    </row>
    <row r="345">
      <c r="A345" s="12" t="n">
        <v>45370</v>
      </c>
      <c r="B345" s="13">
        <f>Raw_Data!B345</f>
        <v/>
      </c>
      <c r="C345" s="13">
        <f>AVERAGE(B316:B345)</f>
        <v/>
      </c>
      <c r="D345" s="13">
        <f>STDEV.S(B316:B345)</f>
        <v/>
      </c>
      <c r="E345" s="13">
        <f>C345+3*D345</f>
        <v/>
      </c>
      <c r="F345" s="13">
        <f>C345-3*D345</f>
        <v/>
      </c>
      <c r="G345" s="15">
        <f>IF(D345=0,"",(B345-C345)/D345)</f>
        <v/>
      </c>
      <c r="H345" s="13">
        <f>MEDIAN(B316:B345)</f>
        <v/>
      </c>
      <c r="I345" s="13">
        <f>MEDIAN(ABS(B316:B345-H345))</f>
        <v/>
      </c>
      <c r="J345" s="15">
        <f>IF(I345=0,"",0.6745*(B345-H345)/I345)</f>
        <v/>
      </c>
      <c r="K345" s="13">
        <f>0.2*B345+0.8*K344</f>
        <v/>
      </c>
      <c r="L345" s="13">
        <f>C345+3*D345*SQRT(0.2/(2-0.2))</f>
        <v/>
      </c>
      <c r="M345" s="13">
        <f>C345-3*D345*SQRT(0.2/(2-0.2))</f>
        <v/>
      </c>
      <c r="N345" s="13">
        <f>MAX(0,N344+(B345-C345-0.5*D345))</f>
        <v/>
      </c>
      <c r="O345" s="13">
        <f>MIN(0,O344+(B345-C345+0.5*D345))</f>
        <v/>
      </c>
      <c r="P345">
        <f>IF(ABS(G345)&gt;1,P344+1,0)</f>
        <v/>
      </c>
      <c r="Q345">
        <f>IFS(OR(ABS(G345)&gt;3,N345&gt;5*D345,ABS(O345)&gt;5*D345,P345&gt;=5),"CRITICAL",OR(ABS(G345)&gt;2,P345&gt;=3,ABS(J345)&gt;3.5),"EARLY WARNING",ABS(G345)&gt;1,"WATCH",TRUE,"NORMAL")</f>
        <v/>
      </c>
    </row>
    <row r="346">
      <c r="A346" s="12" t="n">
        <v>45371</v>
      </c>
      <c r="B346" s="13">
        <f>Raw_Data!B346</f>
        <v/>
      </c>
      <c r="C346" s="13">
        <f>AVERAGE(B317:B346)</f>
        <v/>
      </c>
      <c r="D346" s="13">
        <f>STDEV.S(B317:B346)</f>
        <v/>
      </c>
      <c r="E346" s="13">
        <f>C346+3*D346</f>
        <v/>
      </c>
      <c r="F346" s="13">
        <f>C346-3*D346</f>
        <v/>
      </c>
      <c r="G346" s="15">
        <f>IF(D346=0,"",(B346-C346)/D346)</f>
        <v/>
      </c>
      <c r="H346" s="13">
        <f>MEDIAN(B317:B346)</f>
        <v/>
      </c>
      <c r="I346" s="13">
        <f>MEDIAN(ABS(B317:B346-H346))</f>
        <v/>
      </c>
      <c r="J346" s="15">
        <f>IF(I346=0,"",0.6745*(B346-H346)/I346)</f>
        <v/>
      </c>
      <c r="K346" s="13">
        <f>0.2*B346+0.8*K345</f>
        <v/>
      </c>
      <c r="L346" s="13">
        <f>C346+3*D346*SQRT(0.2/(2-0.2))</f>
        <v/>
      </c>
      <c r="M346" s="13">
        <f>C346-3*D346*SQRT(0.2/(2-0.2))</f>
        <v/>
      </c>
      <c r="N346" s="13">
        <f>MAX(0,N345+(B346-C346-0.5*D346))</f>
        <v/>
      </c>
      <c r="O346" s="13">
        <f>MIN(0,O345+(B346-C346+0.5*D346))</f>
        <v/>
      </c>
      <c r="P346">
        <f>IF(ABS(G346)&gt;1,P345+1,0)</f>
        <v/>
      </c>
      <c r="Q346">
        <f>IFS(OR(ABS(G346)&gt;3,N346&gt;5*D346,ABS(O346)&gt;5*D346,P346&gt;=5),"CRITICAL",OR(ABS(G346)&gt;2,P346&gt;=3,ABS(J346)&gt;3.5),"EARLY WARNING",ABS(G346)&gt;1,"WATCH",TRUE,"NORMAL")</f>
        <v/>
      </c>
    </row>
    <row r="347">
      <c r="A347" s="12" t="n">
        <v>45372</v>
      </c>
      <c r="B347" s="13">
        <f>Raw_Data!B347</f>
        <v/>
      </c>
      <c r="C347" s="13">
        <f>AVERAGE(B318:B347)</f>
        <v/>
      </c>
      <c r="D347" s="13">
        <f>STDEV.S(B318:B347)</f>
        <v/>
      </c>
      <c r="E347" s="13">
        <f>C347+3*D347</f>
        <v/>
      </c>
      <c r="F347" s="13">
        <f>C347-3*D347</f>
        <v/>
      </c>
      <c r="G347" s="15">
        <f>IF(D347=0,"",(B347-C347)/D347)</f>
        <v/>
      </c>
      <c r="H347" s="13">
        <f>MEDIAN(B318:B347)</f>
        <v/>
      </c>
      <c r="I347" s="13">
        <f>MEDIAN(ABS(B318:B347-H347))</f>
        <v/>
      </c>
      <c r="J347" s="15">
        <f>IF(I347=0,"",0.6745*(B347-H347)/I347)</f>
        <v/>
      </c>
      <c r="K347" s="13">
        <f>0.2*B347+0.8*K346</f>
        <v/>
      </c>
      <c r="L347" s="13">
        <f>C347+3*D347*SQRT(0.2/(2-0.2))</f>
        <v/>
      </c>
      <c r="M347" s="13">
        <f>C347-3*D347*SQRT(0.2/(2-0.2))</f>
        <v/>
      </c>
      <c r="N347" s="13">
        <f>MAX(0,N346+(B347-C347-0.5*D347))</f>
        <v/>
      </c>
      <c r="O347" s="13">
        <f>MIN(0,O346+(B347-C347+0.5*D347))</f>
        <v/>
      </c>
      <c r="P347">
        <f>IF(ABS(G347)&gt;1,P346+1,0)</f>
        <v/>
      </c>
      <c r="Q347">
        <f>IFS(OR(ABS(G347)&gt;3,N347&gt;5*D347,ABS(O347)&gt;5*D347,P347&gt;=5),"CRITICAL",OR(ABS(G347)&gt;2,P347&gt;=3,ABS(J347)&gt;3.5),"EARLY WARNING",ABS(G347)&gt;1,"WATCH",TRUE,"NORMAL")</f>
        <v/>
      </c>
    </row>
    <row r="348">
      <c r="A348" s="12" t="n">
        <v>45373</v>
      </c>
      <c r="B348" s="13">
        <f>Raw_Data!B348</f>
        <v/>
      </c>
      <c r="C348" s="13">
        <f>AVERAGE(B319:B348)</f>
        <v/>
      </c>
      <c r="D348" s="13">
        <f>STDEV.S(B319:B348)</f>
        <v/>
      </c>
      <c r="E348" s="13">
        <f>C348+3*D348</f>
        <v/>
      </c>
      <c r="F348" s="13">
        <f>C348-3*D348</f>
        <v/>
      </c>
      <c r="G348" s="15">
        <f>IF(D348=0,"",(B348-C348)/D348)</f>
        <v/>
      </c>
      <c r="H348" s="13">
        <f>MEDIAN(B319:B348)</f>
        <v/>
      </c>
      <c r="I348" s="13">
        <f>MEDIAN(ABS(B319:B348-H348))</f>
        <v/>
      </c>
      <c r="J348" s="15">
        <f>IF(I348=0,"",0.6745*(B348-H348)/I348)</f>
        <v/>
      </c>
      <c r="K348" s="13">
        <f>0.2*B348+0.8*K347</f>
        <v/>
      </c>
      <c r="L348" s="13">
        <f>C348+3*D348*SQRT(0.2/(2-0.2))</f>
        <v/>
      </c>
      <c r="M348" s="13">
        <f>C348-3*D348*SQRT(0.2/(2-0.2))</f>
        <v/>
      </c>
      <c r="N348" s="13">
        <f>MAX(0,N347+(B348-C348-0.5*D348))</f>
        <v/>
      </c>
      <c r="O348" s="13">
        <f>MIN(0,O347+(B348-C348+0.5*D348))</f>
        <v/>
      </c>
      <c r="P348">
        <f>IF(ABS(G348)&gt;1,P347+1,0)</f>
        <v/>
      </c>
      <c r="Q348">
        <f>IFS(OR(ABS(G348)&gt;3,N348&gt;5*D348,ABS(O348)&gt;5*D348,P348&gt;=5),"CRITICAL",OR(ABS(G348)&gt;2,P348&gt;=3,ABS(J348)&gt;3.5),"EARLY WARNING",ABS(G348)&gt;1,"WATCH",TRUE,"NORMAL")</f>
        <v/>
      </c>
    </row>
    <row r="349">
      <c r="A349" s="12" t="n">
        <v>45374</v>
      </c>
      <c r="B349" s="13">
        <f>Raw_Data!B349</f>
        <v/>
      </c>
      <c r="C349" s="13">
        <f>AVERAGE(B320:B349)</f>
        <v/>
      </c>
      <c r="D349" s="13">
        <f>STDEV.S(B320:B349)</f>
        <v/>
      </c>
      <c r="E349" s="13">
        <f>C349+3*D349</f>
        <v/>
      </c>
      <c r="F349" s="13">
        <f>C349-3*D349</f>
        <v/>
      </c>
      <c r="G349" s="15">
        <f>IF(D349=0,"",(B349-C349)/D349)</f>
        <v/>
      </c>
      <c r="H349" s="13">
        <f>MEDIAN(B320:B349)</f>
        <v/>
      </c>
      <c r="I349" s="13">
        <f>MEDIAN(ABS(B320:B349-H349))</f>
        <v/>
      </c>
      <c r="J349" s="15">
        <f>IF(I349=0,"",0.6745*(B349-H349)/I349)</f>
        <v/>
      </c>
      <c r="K349" s="13">
        <f>0.2*B349+0.8*K348</f>
        <v/>
      </c>
      <c r="L349" s="13">
        <f>C349+3*D349*SQRT(0.2/(2-0.2))</f>
        <v/>
      </c>
      <c r="M349" s="13">
        <f>C349-3*D349*SQRT(0.2/(2-0.2))</f>
        <v/>
      </c>
      <c r="N349" s="13">
        <f>MAX(0,N348+(B349-C349-0.5*D349))</f>
        <v/>
      </c>
      <c r="O349" s="13">
        <f>MIN(0,O348+(B349-C349+0.5*D349))</f>
        <v/>
      </c>
      <c r="P349">
        <f>IF(ABS(G349)&gt;1,P348+1,0)</f>
        <v/>
      </c>
      <c r="Q349">
        <f>IFS(OR(ABS(G349)&gt;3,N349&gt;5*D349,ABS(O349)&gt;5*D349,P349&gt;=5),"CRITICAL",OR(ABS(G349)&gt;2,P349&gt;=3,ABS(J349)&gt;3.5),"EARLY WARNING",ABS(G349)&gt;1,"WATCH",TRUE,"NORMAL")</f>
        <v/>
      </c>
    </row>
    <row r="350">
      <c r="A350" s="12" t="n">
        <v>45375</v>
      </c>
      <c r="B350" s="13">
        <f>Raw_Data!B350</f>
        <v/>
      </c>
      <c r="C350" s="13">
        <f>AVERAGE(B321:B350)</f>
        <v/>
      </c>
      <c r="D350" s="13">
        <f>STDEV.S(B321:B350)</f>
        <v/>
      </c>
      <c r="E350" s="13">
        <f>C350+3*D350</f>
        <v/>
      </c>
      <c r="F350" s="13">
        <f>C350-3*D350</f>
        <v/>
      </c>
      <c r="G350" s="15">
        <f>IF(D350=0,"",(B350-C350)/D350)</f>
        <v/>
      </c>
      <c r="H350" s="13">
        <f>MEDIAN(B321:B350)</f>
        <v/>
      </c>
      <c r="I350" s="13">
        <f>MEDIAN(ABS(B321:B350-H350))</f>
        <v/>
      </c>
      <c r="J350" s="15">
        <f>IF(I350=0,"",0.6745*(B350-H350)/I350)</f>
        <v/>
      </c>
      <c r="K350" s="13">
        <f>0.2*B350+0.8*K349</f>
        <v/>
      </c>
      <c r="L350" s="13">
        <f>C350+3*D350*SQRT(0.2/(2-0.2))</f>
        <v/>
      </c>
      <c r="M350" s="13">
        <f>C350-3*D350*SQRT(0.2/(2-0.2))</f>
        <v/>
      </c>
      <c r="N350" s="13">
        <f>MAX(0,N349+(B350-C350-0.5*D350))</f>
        <v/>
      </c>
      <c r="O350" s="13">
        <f>MIN(0,O349+(B350-C350+0.5*D350))</f>
        <v/>
      </c>
      <c r="P350">
        <f>IF(ABS(G350)&gt;1,P349+1,0)</f>
        <v/>
      </c>
      <c r="Q350">
        <f>IFS(OR(ABS(G350)&gt;3,N350&gt;5*D350,ABS(O350)&gt;5*D350,P350&gt;=5),"CRITICAL",OR(ABS(G350)&gt;2,P350&gt;=3,ABS(J350)&gt;3.5),"EARLY WARNING",ABS(G350)&gt;1,"WATCH",TRUE,"NORMAL")</f>
        <v/>
      </c>
    </row>
    <row r="351">
      <c r="A351" s="12" t="n">
        <v>45376</v>
      </c>
      <c r="B351" s="13">
        <f>Raw_Data!B351</f>
        <v/>
      </c>
      <c r="C351" s="13">
        <f>AVERAGE(B322:B351)</f>
        <v/>
      </c>
      <c r="D351" s="13">
        <f>STDEV.S(B322:B351)</f>
        <v/>
      </c>
      <c r="E351" s="13">
        <f>C351+3*D351</f>
        <v/>
      </c>
      <c r="F351" s="13">
        <f>C351-3*D351</f>
        <v/>
      </c>
      <c r="G351" s="15">
        <f>IF(D351=0,"",(B351-C351)/D351)</f>
        <v/>
      </c>
      <c r="H351" s="13">
        <f>MEDIAN(B322:B351)</f>
        <v/>
      </c>
      <c r="I351" s="13">
        <f>MEDIAN(ABS(B322:B351-H351))</f>
        <v/>
      </c>
      <c r="J351" s="15">
        <f>IF(I351=0,"",0.6745*(B351-H351)/I351)</f>
        <v/>
      </c>
      <c r="K351" s="13">
        <f>0.2*B351+0.8*K350</f>
        <v/>
      </c>
      <c r="L351" s="13">
        <f>C351+3*D351*SQRT(0.2/(2-0.2))</f>
        <v/>
      </c>
      <c r="M351" s="13">
        <f>C351-3*D351*SQRT(0.2/(2-0.2))</f>
        <v/>
      </c>
      <c r="N351" s="13">
        <f>MAX(0,N350+(B351-C351-0.5*D351))</f>
        <v/>
      </c>
      <c r="O351" s="13">
        <f>MIN(0,O350+(B351-C351+0.5*D351))</f>
        <v/>
      </c>
      <c r="P351">
        <f>IF(ABS(G351)&gt;1,P350+1,0)</f>
        <v/>
      </c>
      <c r="Q351">
        <f>IFS(OR(ABS(G351)&gt;3,N351&gt;5*D351,ABS(O351)&gt;5*D351,P351&gt;=5),"CRITICAL",OR(ABS(G351)&gt;2,P351&gt;=3,ABS(J351)&gt;3.5),"EARLY WARNING",ABS(G351)&gt;1,"WATCH",TRUE,"NORMAL")</f>
        <v/>
      </c>
    </row>
    <row r="352">
      <c r="A352" s="12" t="n">
        <v>45377</v>
      </c>
      <c r="B352" s="13">
        <f>Raw_Data!B352</f>
        <v/>
      </c>
      <c r="C352" s="13">
        <f>AVERAGE(B323:B352)</f>
        <v/>
      </c>
      <c r="D352" s="13">
        <f>STDEV.S(B323:B352)</f>
        <v/>
      </c>
      <c r="E352" s="13">
        <f>C352+3*D352</f>
        <v/>
      </c>
      <c r="F352" s="13">
        <f>C352-3*D352</f>
        <v/>
      </c>
      <c r="G352" s="15">
        <f>IF(D352=0,"",(B352-C352)/D352)</f>
        <v/>
      </c>
      <c r="H352" s="13">
        <f>MEDIAN(B323:B352)</f>
        <v/>
      </c>
      <c r="I352" s="13">
        <f>MEDIAN(ABS(B323:B352-H352))</f>
        <v/>
      </c>
      <c r="J352" s="15">
        <f>IF(I352=0,"",0.6745*(B352-H352)/I352)</f>
        <v/>
      </c>
      <c r="K352" s="13">
        <f>0.2*B352+0.8*K351</f>
        <v/>
      </c>
      <c r="L352" s="13">
        <f>C352+3*D352*SQRT(0.2/(2-0.2))</f>
        <v/>
      </c>
      <c r="M352" s="13">
        <f>C352-3*D352*SQRT(0.2/(2-0.2))</f>
        <v/>
      </c>
      <c r="N352" s="13">
        <f>MAX(0,N351+(B352-C352-0.5*D352))</f>
        <v/>
      </c>
      <c r="O352" s="13">
        <f>MIN(0,O351+(B352-C352+0.5*D352))</f>
        <v/>
      </c>
      <c r="P352">
        <f>IF(ABS(G352)&gt;1,P351+1,0)</f>
        <v/>
      </c>
      <c r="Q352">
        <f>IFS(OR(ABS(G352)&gt;3,N352&gt;5*D352,ABS(O352)&gt;5*D352,P352&gt;=5),"CRITICAL",OR(ABS(G352)&gt;2,P352&gt;=3,ABS(J352)&gt;3.5),"EARLY WARNING",ABS(G352)&gt;1,"WATCH",TRUE,"NORMAL")</f>
        <v/>
      </c>
    </row>
    <row r="353">
      <c r="A353" s="12" t="n">
        <v>45378</v>
      </c>
      <c r="B353" s="13">
        <f>Raw_Data!B353</f>
        <v/>
      </c>
      <c r="C353" s="13">
        <f>AVERAGE(B324:B353)</f>
        <v/>
      </c>
      <c r="D353" s="13">
        <f>STDEV.S(B324:B353)</f>
        <v/>
      </c>
      <c r="E353" s="13">
        <f>C353+3*D353</f>
        <v/>
      </c>
      <c r="F353" s="13">
        <f>C353-3*D353</f>
        <v/>
      </c>
      <c r="G353" s="15">
        <f>IF(D353=0,"",(B353-C353)/D353)</f>
        <v/>
      </c>
      <c r="H353" s="13">
        <f>MEDIAN(B324:B353)</f>
        <v/>
      </c>
      <c r="I353" s="13">
        <f>MEDIAN(ABS(B324:B353-H353))</f>
        <v/>
      </c>
      <c r="J353" s="15">
        <f>IF(I353=0,"",0.6745*(B353-H353)/I353)</f>
        <v/>
      </c>
      <c r="K353" s="13">
        <f>0.2*B353+0.8*K352</f>
        <v/>
      </c>
      <c r="L353" s="13">
        <f>C353+3*D353*SQRT(0.2/(2-0.2))</f>
        <v/>
      </c>
      <c r="M353" s="13">
        <f>C353-3*D353*SQRT(0.2/(2-0.2))</f>
        <v/>
      </c>
      <c r="N353" s="13">
        <f>MAX(0,N352+(B353-C353-0.5*D353))</f>
        <v/>
      </c>
      <c r="O353" s="13">
        <f>MIN(0,O352+(B353-C353+0.5*D353))</f>
        <v/>
      </c>
      <c r="P353">
        <f>IF(ABS(G353)&gt;1,P352+1,0)</f>
        <v/>
      </c>
      <c r="Q353">
        <f>IFS(OR(ABS(G353)&gt;3,N353&gt;5*D353,ABS(O353)&gt;5*D353,P353&gt;=5),"CRITICAL",OR(ABS(G353)&gt;2,P353&gt;=3,ABS(J353)&gt;3.5),"EARLY WARNING",ABS(G353)&gt;1,"WATCH",TRUE,"NORMAL")</f>
        <v/>
      </c>
    </row>
    <row r="354">
      <c r="A354" s="12" t="n">
        <v>45379</v>
      </c>
      <c r="B354" s="13">
        <f>Raw_Data!B354</f>
        <v/>
      </c>
      <c r="C354" s="13">
        <f>AVERAGE(B325:B354)</f>
        <v/>
      </c>
      <c r="D354" s="13">
        <f>STDEV.S(B325:B354)</f>
        <v/>
      </c>
      <c r="E354" s="13">
        <f>C354+3*D354</f>
        <v/>
      </c>
      <c r="F354" s="13">
        <f>C354-3*D354</f>
        <v/>
      </c>
      <c r="G354" s="15">
        <f>IF(D354=0,"",(B354-C354)/D354)</f>
        <v/>
      </c>
      <c r="H354" s="13">
        <f>MEDIAN(B325:B354)</f>
        <v/>
      </c>
      <c r="I354" s="13">
        <f>MEDIAN(ABS(B325:B354-H354))</f>
        <v/>
      </c>
      <c r="J354" s="15">
        <f>IF(I354=0,"",0.6745*(B354-H354)/I354)</f>
        <v/>
      </c>
      <c r="K354" s="13">
        <f>0.2*B354+0.8*K353</f>
        <v/>
      </c>
      <c r="L354" s="13">
        <f>C354+3*D354*SQRT(0.2/(2-0.2))</f>
        <v/>
      </c>
      <c r="M354" s="13">
        <f>C354-3*D354*SQRT(0.2/(2-0.2))</f>
        <v/>
      </c>
      <c r="N354" s="13">
        <f>MAX(0,N353+(B354-C354-0.5*D354))</f>
        <v/>
      </c>
      <c r="O354" s="13">
        <f>MIN(0,O353+(B354-C354+0.5*D354))</f>
        <v/>
      </c>
      <c r="P354">
        <f>IF(ABS(G354)&gt;1,P353+1,0)</f>
        <v/>
      </c>
      <c r="Q354">
        <f>IFS(OR(ABS(G354)&gt;3,N354&gt;5*D354,ABS(O354)&gt;5*D354,P354&gt;=5),"CRITICAL",OR(ABS(G354)&gt;2,P354&gt;=3,ABS(J354)&gt;3.5),"EARLY WARNING",ABS(G354)&gt;1,"WATCH",TRUE,"NORMAL")</f>
        <v/>
      </c>
    </row>
    <row r="355">
      <c r="A355" s="12" t="n">
        <v>45380</v>
      </c>
      <c r="B355" s="13">
        <f>Raw_Data!B355</f>
        <v/>
      </c>
      <c r="C355" s="13">
        <f>AVERAGE(B326:B355)</f>
        <v/>
      </c>
      <c r="D355" s="13">
        <f>STDEV.S(B326:B355)</f>
        <v/>
      </c>
      <c r="E355" s="13">
        <f>C355+3*D355</f>
        <v/>
      </c>
      <c r="F355" s="13">
        <f>C355-3*D355</f>
        <v/>
      </c>
      <c r="G355" s="15">
        <f>IF(D355=0,"",(B355-C355)/D355)</f>
        <v/>
      </c>
      <c r="H355" s="13">
        <f>MEDIAN(B326:B355)</f>
        <v/>
      </c>
      <c r="I355" s="13">
        <f>MEDIAN(ABS(B326:B355-H355))</f>
        <v/>
      </c>
      <c r="J355" s="15">
        <f>IF(I355=0,"",0.6745*(B355-H355)/I355)</f>
        <v/>
      </c>
      <c r="K355" s="13">
        <f>0.2*B355+0.8*K354</f>
        <v/>
      </c>
      <c r="L355" s="13">
        <f>C355+3*D355*SQRT(0.2/(2-0.2))</f>
        <v/>
      </c>
      <c r="M355" s="13">
        <f>C355-3*D355*SQRT(0.2/(2-0.2))</f>
        <v/>
      </c>
      <c r="N355" s="13">
        <f>MAX(0,N354+(B355-C355-0.5*D355))</f>
        <v/>
      </c>
      <c r="O355" s="13">
        <f>MIN(0,O354+(B355-C355+0.5*D355))</f>
        <v/>
      </c>
      <c r="P355">
        <f>IF(ABS(G355)&gt;1,P354+1,0)</f>
        <v/>
      </c>
      <c r="Q355">
        <f>IFS(OR(ABS(G355)&gt;3,N355&gt;5*D355,ABS(O355)&gt;5*D355,P355&gt;=5),"CRITICAL",OR(ABS(G355)&gt;2,P355&gt;=3,ABS(J355)&gt;3.5),"EARLY WARNING",ABS(G355)&gt;1,"WATCH",TRUE,"NORMAL")</f>
        <v/>
      </c>
    </row>
    <row r="356">
      <c r="A356" s="12" t="n">
        <v>45381</v>
      </c>
      <c r="B356" s="13">
        <f>Raw_Data!B356</f>
        <v/>
      </c>
      <c r="C356" s="13">
        <f>AVERAGE(B327:B356)</f>
        <v/>
      </c>
      <c r="D356" s="13">
        <f>STDEV.S(B327:B356)</f>
        <v/>
      </c>
      <c r="E356" s="13">
        <f>C356+3*D356</f>
        <v/>
      </c>
      <c r="F356" s="13">
        <f>C356-3*D356</f>
        <v/>
      </c>
      <c r="G356" s="15">
        <f>IF(D356=0,"",(B356-C356)/D356)</f>
        <v/>
      </c>
      <c r="H356" s="13">
        <f>MEDIAN(B327:B356)</f>
        <v/>
      </c>
      <c r="I356" s="13">
        <f>MEDIAN(ABS(B327:B356-H356))</f>
        <v/>
      </c>
      <c r="J356" s="15">
        <f>IF(I356=0,"",0.6745*(B356-H356)/I356)</f>
        <v/>
      </c>
      <c r="K356" s="13">
        <f>0.2*B356+0.8*K355</f>
        <v/>
      </c>
      <c r="L356" s="13">
        <f>C356+3*D356*SQRT(0.2/(2-0.2))</f>
        <v/>
      </c>
      <c r="M356" s="13">
        <f>C356-3*D356*SQRT(0.2/(2-0.2))</f>
        <v/>
      </c>
      <c r="N356" s="13">
        <f>MAX(0,N355+(B356-C356-0.5*D356))</f>
        <v/>
      </c>
      <c r="O356" s="13">
        <f>MIN(0,O355+(B356-C356+0.5*D356))</f>
        <v/>
      </c>
      <c r="P356">
        <f>IF(ABS(G356)&gt;1,P355+1,0)</f>
        <v/>
      </c>
      <c r="Q356">
        <f>IFS(OR(ABS(G356)&gt;3,N356&gt;5*D356,ABS(O356)&gt;5*D356,P356&gt;=5),"CRITICAL",OR(ABS(G356)&gt;2,P356&gt;=3,ABS(J356)&gt;3.5),"EARLY WARNING",ABS(G356)&gt;1,"WATCH",TRUE,"NORMAL")</f>
        <v/>
      </c>
    </row>
    <row r="357">
      <c r="A357" s="12" t="n">
        <v>45382</v>
      </c>
      <c r="B357" s="13">
        <f>Raw_Data!B357</f>
        <v/>
      </c>
      <c r="C357" s="13">
        <f>AVERAGE(B328:B357)</f>
        <v/>
      </c>
      <c r="D357" s="13">
        <f>STDEV.S(B328:B357)</f>
        <v/>
      </c>
      <c r="E357" s="13">
        <f>C357+3*D357</f>
        <v/>
      </c>
      <c r="F357" s="13">
        <f>C357-3*D357</f>
        <v/>
      </c>
      <c r="G357" s="15">
        <f>IF(D357=0,"",(B357-C357)/D357)</f>
        <v/>
      </c>
      <c r="H357" s="13">
        <f>MEDIAN(B328:B357)</f>
        <v/>
      </c>
      <c r="I357" s="13">
        <f>MEDIAN(ABS(B328:B357-H357))</f>
        <v/>
      </c>
      <c r="J357" s="15">
        <f>IF(I357=0,"",0.6745*(B357-H357)/I357)</f>
        <v/>
      </c>
      <c r="K357" s="13">
        <f>0.2*B357+0.8*K356</f>
        <v/>
      </c>
      <c r="L357" s="13">
        <f>C357+3*D357*SQRT(0.2/(2-0.2))</f>
        <v/>
      </c>
      <c r="M357" s="13">
        <f>C357-3*D357*SQRT(0.2/(2-0.2))</f>
        <v/>
      </c>
      <c r="N357" s="13">
        <f>MAX(0,N356+(B357-C357-0.5*D357))</f>
        <v/>
      </c>
      <c r="O357" s="13">
        <f>MIN(0,O356+(B357-C357+0.5*D357))</f>
        <v/>
      </c>
      <c r="P357">
        <f>IF(ABS(G357)&gt;1,P356+1,0)</f>
        <v/>
      </c>
      <c r="Q357">
        <f>IFS(OR(ABS(G357)&gt;3,N357&gt;5*D357,ABS(O357)&gt;5*D357,P357&gt;=5),"CRITICAL",OR(ABS(G357)&gt;2,P357&gt;=3,ABS(J357)&gt;3.5),"EARLY WARNING",ABS(G357)&gt;1,"WATCH",TRUE,"NORMAL")</f>
        <v/>
      </c>
    </row>
    <row r="358">
      <c r="A358" s="12" t="n">
        <v>45383</v>
      </c>
      <c r="B358" s="13">
        <f>Raw_Data!B358</f>
        <v/>
      </c>
      <c r="C358" s="13">
        <f>AVERAGE(B329:B358)</f>
        <v/>
      </c>
      <c r="D358" s="13">
        <f>STDEV.S(B329:B358)</f>
        <v/>
      </c>
      <c r="E358" s="13">
        <f>C358+3*D358</f>
        <v/>
      </c>
      <c r="F358" s="13">
        <f>C358-3*D358</f>
        <v/>
      </c>
      <c r="G358" s="15">
        <f>IF(D358=0,"",(B358-C358)/D358)</f>
        <v/>
      </c>
      <c r="H358" s="13">
        <f>MEDIAN(B329:B358)</f>
        <v/>
      </c>
      <c r="I358" s="13">
        <f>MEDIAN(ABS(B329:B358-H358))</f>
        <v/>
      </c>
      <c r="J358" s="15">
        <f>IF(I358=0,"",0.6745*(B358-H358)/I358)</f>
        <v/>
      </c>
      <c r="K358" s="13">
        <f>0.2*B358+0.8*K357</f>
        <v/>
      </c>
      <c r="L358" s="13">
        <f>C358+3*D358*SQRT(0.2/(2-0.2))</f>
        <v/>
      </c>
      <c r="M358" s="13">
        <f>C358-3*D358*SQRT(0.2/(2-0.2))</f>
        <v/>
      </c>
      <c r="N358" s="13">
        <f>MAX(0,N357+(B358-C358-0.5*D358))</f>
        <v/>
      </c>
      <c r="O358" s="13">
        <f>MIN(0,O357+(B358-C358+0.5*D358))</f>
        <v/>
      </c>
      <c r="P358">
        <f>IF(ABS(G358)&gt;1,P357+1,0)</f>
        <v/>
      </c>
      <c r="Q358">
        <f>IFS(OR(ABS(G358)&gt;3,N358&gt;5*D358,ABS(O358)&gt;5*D358,P358&gt;=5),"CRITICAL",OR(ABS(G358)&gt;2,P358&gt;=3,ABS(J358)&gt;3.5),"EARLY WARNING",ABS(G358)&gt;1,"WATCH",TRUE,"NORMAL")</f>
        <v/>
      </c>
    </row>
    <row r="359">
      <c r="A359" s="12" t="n">
        <v>45384</v>
      </c>
      <c r="B359" s="13">
        <f>Raw_Data!B359</f>
        <v/>
      </c>
      <c r="C359" s="13">
        <f>AVERAGE(B330:B359)</f>
        <v/>
      </c>
      <c r="D359" s="13">
        <f>STDEV.S(B330:B359)</f>
        <v/>
      </c>
      <c r="E359" s="13">
        <f>C359+3*D359</f>
        <v/>
      </c>
      <c r="F359" s="13">
        <f>C359-3*D359</f>
        <v/>
      </c>
      <c r="G359" s="15">
        <f>IF(D359=0,"",(B359-C359)/D359)</f>
        <v/>
      </c>
      <c r="H359" s="13">
        <f>MEDIAN(B330:B359)</f>
        <v/>
      </c>
      <c r="I359" s="13">
        <f>MEDIAN(ABS(B330:B359-H359))</f>
        <v/>
      </c>
      <c r="J359" s="15">
        <f>IF(I359=0,"",0.6745*(B359-H359)/I359)</f>
        <v/>
      </c>
      <c r="K359" s="13">
        <f>0.2*B359+0.8*K358</f>
        <v/>
      </c>
      <c r="L359" s="13">
        <f>C359+3*D359*SQRT(0.2/(2-0.2))</f>
        <v/>
      </c>
      <c r="M359" s="13">
        <f>C359-3*D359*SQRT(0.2/(2-0.2))</f>
        <v/>
      </c>
      <c r="N359" s="13">
        <f>MAX(0,N358+(B359-C359-0.5*D359))</f>
        <v/>
      </c>
      <c r="O359" s="13">
        <f>MIN(0,O358+(B359-C359+0.5*D359))</f>
        <v/>
      </c>
      <c r="P359">
        <f>IF(ABS(G359)&gt;1,P358+1,0)</f>
        <v/>
      </c>
      <c r="Q359">
        <f>IFS(OR(ABS(G359)&gt;3,N359&gt;5*D359,ABS(O359)&gt;5*D359,P359&gt;=5),"CRITICAL",OR(ABS(G359)&gt;2,P359&gt;=3,ABS(J359)&gt;3.5),"EARLY WARNING",ABS(G359)&gt;1,"WATCH",TRUE,"NORMAL")</f>
        <v/>
      </c>
    </row>
    <row r="360">
      <c r="A360" s="12" t="n">
        <v>45385</v>
      </c>
      <c r="B360" s="13">
        <f>Raw_Data!B360</f>
        <v/>
      </c>
      <c r="C360" s="13">
        <f>AVERAGE(B331:B360)</f>
        <v/>
      </c>
      <c r="D360" s="13">
        <f>STDEV.S(B331:B360)</f>
        <v/>
      </c>
      <c r="E360" s="13">
        <f>C360+3*D360</f>
        <v/>
      </c>
      <c r="F360" s="13">
        <f>C360-3*D360</f>
        <v/>
      </c>
      <c r="G360" s="15">
        <f>IF(D360=0,"",(B360-C360)/D360)</f>
        <v/>
      </c>
      <c r="H360" s="13">
        <f>MEDIAN(B331:B360)</f>
        <v/>
      </c>
      <c r="I360" s="13">
        <f>MEDIAN(ABS(B331:B360-H360))</f>
        <v/>
      </c>
      <c r="J360" s="15">
        <f>IF(I360=0,"",0.6745*(B360-H360)/I360)</f>
        <v/>
      </c>
      <c r="K360" s="13">
        <f>0.2*B360+0.8*K359</f>
        <v/>
      </c>
      <c r="L360" s="13">
        <f>C360+3*D360*SQRT(0.2/(2-0.2))</f>
        <v/>
      </c>
      <c r="M360" s="13">
        <f>C360-3*D360*SQRT(0.2/(2-0.2))</f>
        <v/>
      </c>
      <c r="N360" s="13">
        <f>MAX(0,N359+(B360-C360-0.5*D360))</f>
        <v/>
      </c>
      <c r="O360" s="13">
        <f>MIN(0,O359+(B360-C360+0.5*D360))</f>
        <v/>
      </c>
      <c r="P360">
        <f>IF(ABS(G360)&gt;1,P359+1,0)</f>
        <v/>
      </c>
      <c r="Q360">
        <f>IFS(OR(ABS(G360)&gt;3,N360&gt;5*D360,ABS(O360)&gt;5*D360,P360&gt;=5),"CRITICAL",OR(ABS(G360)&gt;2,P360&gt;=3,ABS(J360)&gt;3.5),"EARLY WARNING",ABS(G360)&gt;1,"WATCH",TRUE,"NORMAL")</f>
        <v/>
      </c>
    </row>
    <row r="361">
      <c r="A361" s="12" t="n">
        <v>45386</v>
      </c>
      <c r="B361" s="13">
        <f>Raw_Data!B361</f>
        <v/>
      </c>
      <c r="C361" s="13">
        <f>AVERAGE(B332:B361)</f>
        <v/>
      </c>
      <c r="D361" s="13">
        <f>STDEV.S(B332:B361)</f>
        <v/>
      </c>
      <c r="E361" s="13">
        <f>C361+3*D361</f>
        <v/>
      </c>
      <c r="F361" s="13">
        <f>C361-3*D361</f>
        <v/>
      </c>
      <c r="G361" s="15">
        <f>IF(D361=0,"",(B361-C361)/D361)</f>
        <v/>
      </c>
      <c r="H361" s="13">
        <f>MEDIAN(B332:B361)</f>
        <v/>
      </c>
      <c r="I361" s="13">
        <f>MEDIAN(ABS(B332:B361-H361))</f>
        <v/>
      </c>
      <c r="J361" s="15">
        <f>IF(I361=0,"",0.6745*(B361-H361)/I361)</f>
        <v/>
      </c>
      <c r="K361" s="13">
        <f>0.2*B361+0.8*K360</f>
        <v/>
      </c>
      <c r="L361" s="13">
        <f>C361+3*D361*SQRT(0.2/(2-0.2))</f>
        <v/>
      </c>
      <c r="M361" s="13">
        <f>C361-3*D361*SQRT(0.2/(2-0.2))</f>
        <v/>
      </c>
      <c r="N361" s="13">
        <f>MAX(0,N360+(B361-C361-0.5*D361))</f>
        <v/>
      </c>
      <c r="O361" s="13">
        <f>MIN(0,O360+(B361-C361+0.5*D361))</f>
        <v/>
      </c>
      <c r="P361">
        <f>IF(ABS(G361)&gt;1,P360+1,0)</f>
        <v/>
      </c>
      <c r="Q361">
        <f>IFS(OR(ABS(G361)&gt;3,N361&gt;5*D361,ABS(O361)&gt;5*D361,P361&gt;=5),"CRITICAL",OR(ABS(G361)&gt;2,P361&gt;=3,ABS(J361)&gt;3.5),"EARLY WARNING",ABS(G361)&gt;1,"WATCH",TRUE,"NORMAL")</f>
        <v/>
      </c>
    </row>
    <row r="362">
      <c r="A362" s="12" t="n">
        <v>45387</v>
      </c>
      <c r="B362" s="13">
        <f>Raw_Data!B362</f>
        <v/>
      </c>
      <c r="C362" s="13">
        <f>AVERAGE(B333:B362)</f>
        <v/>
      </c>
      <c r="D362" s="13">
        <f>STDEV.S(B333:B362)</f>
        <v/>
      </c>
      <c r="E362" s="13">
        <f>C362+3*D362</f>
        <v/>
      </c>
      <c r="F362" s="13">
        <f>C362-3*D362</f>
        <v/>
      </c>
      <c r="G362" s="15">
        <f>IF(D362=0,"",(B362-C362)/D362)</f>
        <v/>
      </c>
      <c r="H362" s="13">
        <f>MEDIAN(B333:B362)</f>
        <v/>
      </c>
      <c r="I362" s="13">
        <f>MEDIAN(ABS(B333:B362-H362))</f>
        <v/>
      </c>
      <c r="J362" s="15">
        <f>IF(I362=0,"",0.6745*(B362-H362)/I362)</f>
        <v/>
      </c>
      <c r="K362" s="13">
        <f>0.2*B362+0.8*K361</f>
        <v/>
      </c>
      <c r="L362" s="13">
        <f>C362+3*D362*SQRT(0.2/(2-0.2))</f>
        <v/>
      </c>
      <c r="M362" s="13">
        <f>C362-3*D362*SQRT(0.2/(2-0.2))</f>
        <v/>
      </c>
      <c r="N362" s="13">
        <f>MAX(0,N361+(B362-C362-0.5*D362))</f>
        <v/>
      </c>
      <c r="O362" s="13">
        <f>MIN(0,O361+(B362-C362+0.5*D362))</f>
        <v/>
      </c>
      <c r="P362">
        <f>IF(ABS(G362)&gt;1,P361+1,0)</f>
        <v/>
      </c>
      <c r="Q362">
        <f>IFS(OR(ABS(G362)&gt;3,N362&gt;5*D362,ABS(O362)&gt;5*D362,P362&gt;=5),"CRITICAL",OR(ABS(G362)&gt;2,P362&gt;=3,ABS(J362)&gt;3.5),"EARLY WARNING",ABS(G362)&gt;1,"WATCH",TRUE,"NORMAL")</f>
        <v/>
      </c>
    </row>
    <row r="363">
      <c r="A363" s="12" t="n">
        <v>45388</v>
      </c>
      <c r="B363" s="13">
        <f>Raw_Data!B363</f>
        <v/>
      </c>
      <c r="C363" s="13">
        <f>AVERAGE(B334:B363)</f>
        <v/>
      </c>
      <c r="D363" s="13">
        <f>STDEV.S(B334:B363)</f>
        <v/>
      </c>
      <c r="E363" s="13">
        <f>C363+3*D363</f>
        <v/>
      </c>
      <c r="F363" s="13">
        <f>C363-3*D363</f>
        <v/>
      </c>
      <c r="G363" s="15">
        <f>IF(D363=0,"",(B363-C363)/D363)</f>
        <v/>
      </c>
      <c r="H363" s="13">
        <f>MEDIAN(B334:B363)</f>
        <v/>
      </c>
      <c r="I363" s="13">
        <f>MEDIAN(ABS(B334:B363-H363))</f>
        <v/>
      </c>
      <c r="J363" s="15">
        <f>IF(I363=0,"",0.6745*(B363-H363)/I363)</f>
        <v/>
      </c>
      <c r="K363" s="13">
        <f>0.2*B363+0.8*K362</f>
        <v/>
      </c>
      <c r="L363" s="13">
        <f>C363+3*D363*SQRT(0.2/(2-0.2))</f>
        <v/>
      </c>
      <c r="M363" s="13">
        <f>C363-3*D363*SQRT(0.2/(2-0.2))</f>
        <v/>
      </c>
      <c r="N363" s="13">
        <f>MAX(0,N362+(B363-C363-0.5*D363))</f>
        <v/>
      </c>
      <c r="O363" s="13">
        <f>MIN(0,O362+(B363-C363+0.5*D363))</f>
        <v/>
      </c>
      <c r="P363">
        <f>IF(ABS(G363)&gt;1,P362+1,0)</f>
        <v/>
      </c>
      <c r="Q363">
        <f>IFS(OR(ABS(G363)&gt;3,N363&gt;5*D363,ABS(O363)&gt;5*D363,P363&gt;=5),"CRITICAL",OR(ABS(G363)&gt;2,P363&gt;=3,ABS(J363)&gt;3.5),"EARLY WARNING",ABS(G363)&gt;1,"WATCH",TRUE,"NORMAL")</f>
        <v/>
      </c>
    </row>
    <row r="364">
      <c r="A364" s="12" t="n">
        <v>45389</v>
      </c>
      <c r="B364" s="13">
        <f>Raw_Data!B364</f>
        <v/>
      </c>
      <c r="C364" s="13">
        <f>AVERAGE(B335:B364)</f>
        <v/>
      </c>
      <c r="D364" s="13">
        <f>STDEV.S(B335:B364)</f>
        <v/>
      </c>
      <c r="E364" s="13">
        <f>C364+3*D364</f>
        <v/>
      </c>
      <c r="F364" s="13">
        <f>C364-3*D364</f>
        <v/>
      </c>
      <c r="G364" s="15">
        <f>IF(D364=0,"",(B364-C364)/D364)</f>
        <v/>
      </c>
      <c r="H364" s="13">
        <f>MEDIAN(B335:B364)</f>
        <v/>
      </c>
      <c r="I364" s="13">
        <f>MEDIAN(ABS(B335:B364-H364))</f>
        <v/>
      </c>
      <c r="J364" s="15">
        <f>IF(I364=0,"",0.6745*(B364-H364)/I364)</f>
        <v/>
      </c>
      <c r="K364" s="13">
        <f>0.2*B364+0.8*K363</f>
        <v/>
      </c>
      <c r="L364" s="13">
        <f>C364+3*D364*SQRT(0.2/(2-0.2))</f>
        <v/>
      </c>
      <c r="M364" s="13">
        <f>C364-3*D364*SQRT(0.2/(2-0.2))</f>
        <v/>
      </c>
      <c r="N364" s="13">
        <f>MAX(0,N363+(B364-C364-0.5*D364))</f>
        <v/>
      </c>
      <c r="O364" s="13">
        <f>MIN(0,O363+(B364-C364+0.5*D364))</f>
        <v/>
      </c>
      <c r="P364">
        <f>IF(ABS(G364)&gt;1,P363+1,0)</f>
        <v/>
      </c>
      <c r="Q364">
        <f>IFS(OR(ABS(G364)&gt;3,N364&gt;5*D364,ABS(O364)&gt;5*D364,P364&gt;=5),"CRITICAL",OR(ABS(G364)&gt;2,P364&gt;=3,ABS(J364)&gt;3.5),"EARLY WARNING",ABS(G364)&gt;1,"WATCH",TRUE,"NORMAL")</f>
        <v/>
      </c>
    </row>
    <row r="365">
      <c r="A365" s="12" t="n">
        <v>45390</v>
      </c>
      <c r="B365" s="13">
        <f>Raw_Data!B365</f>
        <v/>
      </c>
      <c r="C365" s="13">
        <f>AVERAGE(B336:B365)</f>
        <v/>
      </c>
      <c r="D365" s="13">
        <f>STDEV.S(B336:B365)</f>
        <v/>
      </c>
      <c r="E365" s="13">
        <f>C365+3*D365</f>
        <v/>
      </c>
      <c r="F365" s="13">
        <f>C365-3*D365</f>
        <v/>
      </c>
      <c r="G365" s="15">
        <f>IF(D365=0,"",(B365-C365)/D365)</f>
        <v/>
      </c>
      <c r="H365" s="13">
        <f>MEDIAN(B336:B365)</f>
        <v/>
      </c>
      <c r="I365" s="13">
        <f>MEDIAN(ABS(B336:B365-H365))</f>
        <v/>
      </c>
      <c r="J365" s="15">
        <f>IF(I365=0,"",0.6745*(B365-H365)/I365)</f>
        <v/>
      </c>
      <c r="K365" s="13">
        <f>0.2*B365+0.8*K364</f>
        <v/>
      </c>
      <c r="L365" s="13">
        <f>C365+3*D365*SQRT(0.2/(2-0.2))</f>
        <v/>
      </c>
      <c r="M365" s="13">
        <f>C365-3*D365*SQRT(0.2/(2-0.2))</f>
        <v/>
      </c>
      <c r="N365" s="13">
        <f>MAX(0,N364+(B365-C365-0.5*D365))</f>
        <v/>
      </c>
      <c r="O365" s="13">
        <f>MIN(0,O364+(B365-C365+0.5*D365))</f>
        <v/>
      </c>
      <c r="P365">
        <f>IF(ABS(G365)&gt;1,P364+1,0)</f>
        <v/>
      </c>
      <c r="Q365">
        <f>IFS(OR(ABS(G365)&gt;3,N365&gt;5*D365,ABS(O365)&gt;5*D365,P365&gt;=5),"CRITICAL",OR(ABS(G365)&gt;2,P365&gt;=3,ABS(J365)&gt;3.5),"EARLY WARNING",ABS(G365)&gt;1,"WATCH",TRUE,"NORMAL")</f>
        <v/>
      </c>
    </row>
    <row r="366">
      <c r="A366" s="12" t="n">
        <v>45391</v>
      </c>
      <c r="B366" s="13">
        <f>Raw_Data!B366</f>
        <v/>
      </c>
      <c r="C366" s="13">
        <f>AVERAGE(B337:B366)</f>
        <v/>
      </c>
      <c r="D366" s="13">
        <f>STDEV.S(B337:B366)</f>
        <v/>
      </c>
      <c r="E366" s="13">
        <f>C366+3*D366</f>
        <v/>
      </c>
      <c r="F366" s="13">
        <f>C366-3*D366</f>
        <v/>
      </c>
      <c r="G366" s="15">
        <f>IF(D366=0,"",(B366-C366)/D366)</f>
        <v/>
      </c>
      <c r="H366" s="13">
        <f>MEDIAN(B337:B366)</f>
        <v/>
      </c>
      <c r="I366" s="13">
        <f>MEDIAN(ABS(B337:B366-H366))</f>
        <v/>
      </c>
      <c r="J366" s="15">
        <f>IF(I366=0,"",0.6745*(B366-H366)/I366)</f>
        <v/>
      </c>
      <c r="K366" s="13">
        <f>0.2*B366+0.8*K365</f>
        <v/>
      </c>
      <c r="L366" s="13">
        <f>C366+3*D366*SQRT(0.2/(2-0.2))</f>
        <v/>
      </c>
      <c r="M366" s="13">
        <f>C366-3*D366*SQRT(0.2/(2-0.2))</f>
        <v/>
      </c>
      <c r="N366" s="13">
        <f>MAX(0,N365+(B366-C366-0.5*D366))</f>
        <v/>
      </c>
      <c r="O366" s="13">
        <f>MIN(0,O365+(B366-C366+0.5*D366))</f>
        <v/>
      </c>
      <c r="P366">
        <f>IF(ABS(G366)&gt;1,P365+1,0)</f>
        <v/>
      </c>
      <c r="Q366">
        <f>IFS(OR(ABS(G366)&gt;3,N366&gt;5*D366,ABS(O366)&gt;5*D366,P366&gt;=5),"CRITICAL",OR(ABS(G366)&gt;2,P366&gt;=3,ABS(J366)&gt;3.5),"EARLY WARNING",ABS(G366)&gt;1,"WATCH",TRUE,"NORMAL")</f>
        <v/>
      </c>
    </row>
    <row r="367">
      <c r="A367" s="12" t="n">
        <v>45392</v>
      </c>
      <c r="B367" s="13">
        <f>Raw_Data!B367</f>
        <v/>
      </c>
      <c r="C367" s="13">
        <f>AVERAGE(B338:B367)</f>
        <v/>
      </c>
      <c r="D367" s="13">
        <f>STDEV.S(B338:B367)</f>
        <v/>
      </c>
      <c r="E367" s="13">
        <f>C367+3*D367</f>
        <v/>
      </c>
      <c r="F367" s="13">
        <f>C367-3*D367</f>
        <v/>
      </c>
      <c r="G367" s="15">
        <f>IF(D367=0,"",(B367-C367)/D367)</f>
        <v/>
      </c>
      <c r="H367" s="13">
        <f>MEDIAN(B338:B367)</f>
        <v/>
      </c>
      <c r="I367" s="13">
        <f>MEDIAN(ABS(B338:B367-H367))</f>
        <v/>
      </c>
      <c r="J367" s="15">
        <f>IF(I367=0,"",0.6745*(B367-H367)/I367)</f>
        <v/>
      </c>
      <c r="K367" s="13">
        <f>0.2*B367+0.8*K366</f>
        <v/>
      </c>
      <c r="L367" s="13">
        <f>C367+3*D367*SQRT(0.2/(2-0.2))</f>
        <v/>
      </c>
      <c r="M367" s="13">
        <f>C367-3*D367*SQRT(0.2/(2-0.2))</f>
        <v/>
      </c>
      <c r="N367" s="13">
        <f>MAX(0,N366+(B367-C367-0.5*D367))</f>
        <v/>
      </c>
      <c r="O367" s="13">
        <f>MIN(0,O366+(B367-C367+0.5*D367))</f>
        <v/>
      </c>
      <c r="P367">
        <f>IF(ABS(G367)&gt;1,P366+1,0)</f>
        <v/>
      </c>
      <c r="Q367">
        <f>IFS(OR(ABS(G367)&gt;3,N367&gt;5*D367,ABS(O367)&gt;5*D367,P367&gt;=5),"CRITICAL",OR(ABS(G367)&gt;2,P367&gt;=3,ABS(J367)&gt;3.5),"EARLY WARNING",ABS(G367)&gt;1,"WATCH",TRUE,"NORMAL")</f>
        <v/>
      </c>
    </row>
    <row r="368">
      <c r="A368" s="12" t="n">
        <v>45393</v>
      </c>
      <c r="B368" s="13">
        <f>Raw_Data!B368</f>
        <v/>
      </c>
      <c r="C368" s="13">
        <f>AVERAGE(B339:B368)</f>
        <v/>
      </c>
      <c r="D368" s="13">
        <f>STDEV.S(B339:B368)</f>
        <v/>
      </c>
      <c r="E368" s="13">
        <f>C368+3*D368</f>
        <v/>
      </c>
      <c r="F368" s="13">
        <f>C368-3*D368</f>
        <v/>
      </c>
      <c r="G368" s="15">
        <f>IF(D368=0,"",(B368-C368)/D368)</f>
        <v/>
      </c>
      <c r="H368" s="13">
        <f>MEDIAN(B339:B368)</f>
        <v/>
      </c>
      <c r="I368" s="13">
        <f>MEDIAN(ABS(B339:B368-H368))</f>
        <v/>
      </c>
      <c r="J368" s="15">
        <f>IF(I368=0,"",0.6745*(B368-H368)/I368)</f>
        <v/>
      </c>
      <c r="K368" s="13">
        <f>0.2*B368+0.8*K367</f>
        <v/>
      </c>
      <c r="L368" s="13">
        <f>C368+3*D368*SQRT(0.2/(2-0.2))</f>
        <v/>
      </c>
      <c r="M368" s="13">
        <f>C368-3*D368*SQRT(0.2/(2-0.2))</f>
        <v/>
      </c>
      <c r="N368" s="13">
        <f>MAX(0,N367+(B368-C368-0.5*D368))</f>
        <v/>
      </c>
      <c r="O368" s="13">
        <f>MIN(0,O367+(B368-C368+0.5*D368))</f>
        <v/>
      </c>
      <c r="P368">
        <f>IF(ABS(G368)&gt;1,P367+1,0)</f>
        <v/>
      </c>
      <c r="Q368">
        <f>IFS(OR(ABS(G368)&gt;3,N368&gt;5*D368,ABS(O368)&gt;5*D368,P368&gt;=5),"CRITICAL",OR(ABS(G368)&gt;2,P368&gt;=3,ABS(J368)&gt;3.5),"EARLY WARNING",ABS(G368)&gt;1,"WATCH",TRUE,"NORMAL")</f>
        <v/>
      </c>
    </row>
    <row r="369">
      <c r="A369" s="12" t="n">
        <v>45394</v>
      </c>
      <c r="B369" s="13">
        <f>Raw_Data!B369</f>
        <v/>
      </c>
      <c r="C369" s="13">
        <f>AVERAGE(B340:B369)</f>
        <v/>
      </c>
      <c r="D369" s="13">
        <f>STDEV.S(B340:B369)</f>
        <v/>
      </c>
      <c r="E369" s="13">
        <f>C369+3*D369</f>
        <v/>
      </c>
      <c r="F369" s="13">
        <f>C369-3*D369</f>
        <v/>
      </c>
      <c r="G369" s="15">
        <f>IF(D369=0,"",(B369-C369)/D369)</f>
        <v/>
      </c>
      <c r="H369" s="13">
        <f>MEDIAN(B340:B369)</f>
        <v/>
      </c>
      <c r="I369" s="13">
        <f>MEDIAN(ABS(B340:B369-H369))</f>
        <v/>
      </c>
      <c r="J369" s="15">
        <f>IF(I369=0,"",0.6745*(B369-H369)/I369)</f>
        <v/>
      </c>
      <c r="K369" s="13">
        <f>0.2*B369+0.8*K368</f>
        <v/>
      </c>
      <c r="L369" s="13">
        <f>C369+3*D369*SQRT(0.2/(2-0.2))</f>
        <v/>
      </c>
      <c r="M369" s="13">
        <f>C369-3*D369*SQRT(0.2/(2-0.2))</f>
        <v/>
      </c>
      <c r="N369" s="13">
        <f>MAX(0,N368+(B369-C369-0.5*D369))</f>
        <v/>
      </c>
      <c r="O369" s="13">
        <f>MIN(0,O368+(B369-C369+0.5*D369))</f>
        <v/>
      </c>
      <c r="P369">
        <f>IF(ABS(G369)&gt;1,P368+1,0)</f>
        <v/>
      </c>
      <c r="Q369">
        <f>IFS(OR(ABS(G369)&gt;3,N369&gt;5*D369,ABS(O369)&gt;5*D369,P369&gt;=5),"CRITICAL",OR(ABS(G369)&gt;2,P369&gt;=3,ABS(J369)&gt;3.5),"EARLY WARNING",ABS(G369)&gt;1,"WATCH",TRUE,"NORMAL")</f>
        <v/>
      </c>
    </row>
    <row r="370">
      <c r="A370" s="12" t="n">
        <v>45395</v>
      </c>
      <c r="B370" s="13">
        <f>Raw_Data!B370</f>
        <v/>
      </c>
      <c r="C370" s="13">
        <f>AVERAGE(B341:B370)</f>
        <v/>
      </c>
      <c r="D370" s="13">
        <f>STDEV.S(B341:B370)</f>
        <v/>
      </c>
      <c r="E370" s="13">
        <f>C370+3*D370</f>
        <v/>
      </c>
      <c r="F370" s="13">
        <f>C370-3*D370</f>
        <v/>
      </c>
      <c r="G370" s="15">
        <f>IF(D370=0,"",(B370-C370)/D370)</f>
        <v/>
      </c>
      <c r="H370" s="13">
        <f>MEDIAN(B341:B370)</f>
        <v/>
      </c>
      <c r="I370" s="13">
        <f>MEDIAN(ABS(B341:B370-H370))</f>
        <v/>
      </c>
      <c r="J370" s="15">
        <f>IF(I370=0,"",0.6745*(B370-H370)/I370)</f>
        <v/>
      </c>
      <c r="K370" s="13">
        <f>0.2*B370+0.8*K369</f>
        <v/>
      </c>
      <c r="L370" s="13">
        <f>C370+3*D370*SQRT(0.2/(2-0.2))</f>
        <v/>
      </c>
      <c r="M370" s="13">
        <f>C370-3*D370*SQRT(0.2/(2-0.2))</f>
        <v/>
      </c>
      <c r="N370" s="13">
        <f>MAX(0,N369+(B370-C370-0.5*D370))</f>
        <v/>
      </c>
      <c r="O370" s="13">
        <f>MIN(0,O369+(B370-C370+0.5*D370))</f>
        <v/>
      </c>
      <c r="P370">
        <f>IF(ABS(G370)&gt;1,P369+1,0)</f>
        <v/>
      </c>
      <c r="Q370">
        <f>IFS(OR(ABS(G370)&gt;3,N370&gt;5*D370,ABS(O370)&gt;5*D370,P370&gt;=5),"CRITICAL",OR(ABS(G370)&gt;2,P370&gt;=3,ABS(J370)&gt;3.5),"EARLY WARNING",ABS(G370)&gt;1,"WATCH",TRUE,"NORMAL")</f>
        <v/>
      </c>
    </row>
    <row r="371">
      <c r="A371" s="12" t="n">
        <v>45396</v>
      </c>
      <c r="B371" s="13">
        <f>Raw_Data!B371</f>
        <v/>
      </c>
      <c r="C371" s="13">
        <f>AVERAGE(B342:B371)</f>
        <v/>
      </c>
      <c r="D371" s="13">
        <f>STDEV.S(B342:B371)</f>
        <v/>
      </c>
      <c r="E371" s="13">
        <f>C371+3*D371</f>
        <v/>
      </c>
      <c r="F371" s="13">
        <f>C371-3*D371</f>
        <v/>
      </c>
      <c r="G371" s="15">
        <f>IF(D371=0,"",(B371-C371)/D371)</f>
        <v/>
      </c>
      <c r="H371" s="13">
        <f>MEDIAN(B342:B371)</f>
        <v/>
      </c>
      <c r="I371" s="13">
        <f>MEDIAN(ABS(B342:B371-H371))</f>
        <v/>
      </c>
      <c r="J371" s="15">
        <f>IF(I371=0,"",0.6745*(B371-H371)/I371)</f>
        <v/>
      </c>
      <c r="K371" s="13">
        <f>0.2*B371+0.8*K370</f>
        <v/>
      </c>
      <c r="L371" s="13">
        <f>C371+3*D371*SQRT(0.2/(2-0.2))</f>
        <v/>
      </c>
      <c r="M371" s="13">
        <f>C371-3*D371*SQRT(0.2/(2-0.2))</f>
        <v/>
      </c>
      <c r="N371" s="13">
        <f>MAX(0,N370+(B371-C371-0.5*D371))</f>
        <v/>
      </c>
      <c r="O371" s="13">
        <f>MIN(0,O370+(B371-C371+0.5*D371))</f>
        <v/>
      </c>
      <c r="P371">
        <f>IF(ABS(G371)&gt;1,P370+1,0)</f>
        <v/>
      </c>
      <c r="Q371">
        <f>IFS(OR(ABS(G371)&gt;3,N371&gt;5*D371,ABS(O371)&gt;5*D371,P371&gt;=5),"CRITICAL",OR(ABS(G371)&gt;2,P371&gt;=3,ABS(J371)&gt;3.5),"EARLY WARNING",ABS(G371)&gt;1,"WATCH",TRUE,"NORMAL")</f>
        <v/>
      </c>
    </row>
    <row r="372">
      <c r="A372" s="12" t="n">
        <v>45397</v>
      </c>
      <c r="B372" s="13">
        <f>Raw_Data!B372</f>
        <v/>
      </c>
      <c r="C372" s="13">
        <f>AVERAGE(B343:B372)</f>
        <v/>
      </c>
      <c r="D372" s="13">
        <f>STDEV.S(B343:B372)</f>
        <v/>
      </c>
      <c r="E372" s="13">
        <f>C372+3*D372</f>
        <v/>
      </c>
      <c r="F372" s="13">
        <f>C372-3*D372</f>
        <v/>
      </c>
      <c r="G372" s="15">
        <f>IF(D372=0,"",(B372-C372)/D372)</f>
        <v/>
      </c>
      <c r="H372" s="13">
        <f>MEDIAN(B343:B372)</f>
        <v/>
      </c>
      <c r="I372" s="13">
        <f>MEDIAN(ABS(B343:B372-H372))</f>
        <v/>
      </c>
      <c r="J372" s="15">
        <f>IF(I372=0,"",0.6745*(B372-H372)/I372)</f>
        <v/>
      </c>
      <c r="K372" s="13">
        <f>0.2*B372+0.8*K371</f>
        <v/>
      </c>
      <c r="L372" s="13">
        <f>C372+3*D372*SQRT(0.2/(2-0.2))</f>
        <v/>
      </c>
      <c r="M372" s="13">
        <f>C372-3*D372*SQRT(0.2/(2-0.2))</f>
        <v/>
      </c>
      <c r="N372" s="13">
        <f>MAX(0,N371+(B372-C372-0.5*D372))</f>
        <v/>
      </c>
      <c r="O372" s="13">
        <f>MIN(0,O371+(B372-C372+0.5*D372))</f>
        <v/>
      </c>
      <c r="P372">
        <f>IF(ABS(G372)&gt;1,P371+1,0)</f>
        <v/>
      </c>
      <c r="Q372">
        <f>IFS(OR(ABS(G372)&gt;3,N372&gt;5*D372,ABS(O372)&gt;5*D372,P372&gt;=5),"CRITICAL",OR(ABS(G372)&gt;2,P372&gt;=3,ABS(J372)&gt;3.5),"EARLY WARNING",ABS(G372)&gt;1,"WATCH",TRUE,"NORMAL")</f>
        <v/>
      </c>
    </row>
    <row r="373">
      <c r="A373" s="12" t="n">
        <v>45398</v>
      </c>
      <c r="B373" s="13">
        <f>Raw_Data!B373</f>
        <v/>
      </c>
      <c r="C373" s="13">
        <f>AVERAGE(B344:B373)</f>
        <v/>
      </c>
      <c r="D373" s="13">
        <f>STDEV.S(B344:B373)</f>
        <v/>
      </c>
      <c r="E373" s="13">
        <f>C373+3*D373</f>
        <v/>
      </c>
      <c r="F373" s="13">
        <f>C373-3*D373</f>
        <v/>
      </c>
      <c r="G373" s="15">
        <f>IF(D373=0,"",(B373-C373)/D373)</f>
        <v/>
      </c>
      <c r="H373" s="13">
        <f>MEDIAN(B344:B373)</f>
        <v/>
      </c>
      <c r="I373" s="13">
        <f>MEDIAN(ABS(B344:B373-H373))</f>
        <v/>
      </c>
      <c r="J373" s="15">
        <f>IF(I373=0,"",0.6745*(B373-H373)/I373)</f>
        <v/>
      </c>
      <c r="K373" s="13">
        <f>0.2*B373+0.8*K372</f>
        <v/>
      </c>
      <c r="L373" s="13">
        <f>C373+3*D373*SQRT(0.2/(2-0.2))</f>
        <v/>
      </c>
      <c r="M373" s="13">
        <f>C373-3*D373*SQRT(0.2/(2-0.2))</f>
        <v/>
      </c>
      <c r="N373" s="13">
        <f>MAX(0,N372+(B373-C373-0.5*D373))</f>
        <v/>
      </c>
      <c r="O373" s="13">
        <f>MIN(0,O372+(B373-C373+0.5*D373))</f>
        <v/>
      </c>
      <c r="P373">
        <f>IF(ABS(G373)&gt;1,P372+1,0)</f>
        <v/>
      </c>
      <c r="Q373">
        <f>IFS(OR(ABS(G373)&gt;3,N373&gt;5*D373,ABS(O373)&gt;5*D373,P373&gt;=5),"CRITICAL",OR(ABS(G373)&gt;2,P373&gt;=3,ABS(J373)&gt;3.5),"EARLY WARNING",ABS(G373)&gt;1,"WATCH",TRUE,"NORMAL")</f>
        <v/>
      </c>
    </row>
    <row r="374">
      <c r="A374" s="12" t="n">
        <v>45399</v>
      </c>
      <c r="B374" s="13">
        <f>Raw_Data!B374</f>
        <v/>
      </c>
      <c r="C374" s="13">
        <f>AVERAGE(B345:B374)</f>
        <v/>
      </c>
      <c r="D374" s="13">
        <f>STDEV.S(B345:B374)</f>
        <v/>
      </c>
      <c r="E374" s="13">
        <f>C374+3*D374</f>
        <v/>
      </c>
      <c r="F374" s="13">
        <f>C374-3*D374</f>
        <v/>
      </c>
      <c r="G374" s="15">
        <f>IF(D374=0,"",(B374-C374)/D374)</f>
        <v/>
      </c>
      <c r="H374" s="13">
        <f>MEDIAN(B345:B374)</f>
        <v/>
      </c>
      <c r="I374" s="13">
        <f>MEDIAN(ABS(B345:B374-H374))</f>
        <v/>
      </c>
      <c r="J374" s="15">
        <f>IF(I374=0,"",0.6745*(B374-H374)/I374)</f>
        <v/>
      </c>
      <c r="K374" s="13">
        <f>0.2*B374+0.8*K373</f>
        <v/>
      </c>
      <c r="L374" s="13">
        <f>C374+3*D374*SQRT(0.2/(2-0.2))</f>
        <v/>
      </c>
      <c r="M374" s="13">
        <f>C374-3*D374*SQRT(0.2/(2-0.2))</f>
        <v/>
      </c>
      <c r="N374" s="13">
        <f>MAX(0,N373+(B374-C374-0.5*D374))</f>
        <v/>
      </c>
      <c r="O374" s="13">
        <f>MIN(0,O373+(B374-C374+0.5*D374))</f>
        <v/>
      </c>
      <c r="P374">
        <f>IF(ABS(G374)&gt;1,P373+1,0)</f>
        <v/>
      </c>
      <c r="Q374">
        <f>IFS(OR(ABS(G374)&gt;3,N374&gt;5*D374,ABS(O374)&gt;5*D374,P374&gt;=5),"CRITICAL",OR(ABS(G374)&gt;2,P374&gt;=3,ABS(J374)&gt;3.5),"EARLY WARNING",ABS(G374)&gt;1,"WATCH",TRUE,"NORMAL")</f>
        <v/>
      </c>
    </row>
    <row r="375">
      <c r="A375" s="12" t="n">
        <v>45400</v>
      </c>
      <c r="B375" s="13">
        <f>Raw_Data!B375</f>
        <v/>
      </c>
      <c r="C375" s="13">
        <f>AVERAGE(B346:B375)</f>
        <v/>
      </c>
      <c r="D375" s="13">
        <f>STDEV.S(B346:B375)</f>
        <v/>
      </c>
      <c r="E375" s="13">
        <f>C375+3*D375</f>
        <v/>
      </c>
      <c r="F375" s="13">
        <f>C375-3*D375</f>
        <v/>
      </c>
      <c r="G375" s="15">
        <f>IF(D375=0,"",(B375-C375)/D375)</f>
        <v/>
      </c>
      <c r="H375" s="13">
        <f>MEDIAN(B346:B375)</f>
        <v/>
      </c>
      <c r="I375" s="13">
        <f>MEDIAN(ABS(B346:B375-H375))</f>
        <v/>
      </c>
      <c r="J375" s="15">
        <f>IF(I375=0,"",0.6745*(B375-H375)/I375)</f>
        <v/>
      </c>
      <c r="K375" s="13">
        <f>0.2*B375+0.8*K374</f>
        <v/>
      </c>
      <c r="L375" s="13">
        <f>C375+3*D375*SQRT(0.2/(2-0.2))</f>
        <v/>
      </c>
      <c r="M375" s="13">
        <f>C375-3*D375*SQRT(0.2/(2-0.2))</f>
        <v/>
      </c>
      <c r="N375" s="13">
        <f>MAX(0,N374+(B375-C375-0.5*D375))</f>
        <v/>
      </c>
      <c r="O375" s="13">
        <f>MIN(0,O374+(B375-C375+0.5*D375))</f>
        <v/>
      </c>
      <c r="P375">
        <f>IF(ABS(G375)&gt;1,P374+1,0)</f>
        <v/>
      </c>
      <c r="Q375">
        <f>IFS(OR(ABS(G375)&gt;3,N375&gt;5*D375,ABS(O375)&gt;5*D375,P375&gt;=5),"CRITICAL",OR(ABS(G375)&gt;2,P375&gt;=3,ABS(J375)&gt;3.5),"EARLY WARNING",ABS(G375)&gt;1,"WATCH",TRUE,"NORMAL")</f>
        <v/>
      </c>
    </row>
    <row r="376">
      <c r="A376" s="12" t="n">
        <v>45401</v>
      </c>
      <c r="B376" s="13">
        <f>Raw_Data!B376</f>
        <v/>
      </c>
      <c r="C376" s="13">
        <f>AVERAGE(B347:B376)</f>
        <v/>
      </c>
      <c r="D376" s="13">
        <f>STDEV.S(B347:B376)</f>
        <v/>
      </c>
      <c r="E376" s="13">
        <f>C376+3*D376</f>
        <v/>
      </c>
      <c r="F376" s="13">
        <f>C376-3*D376</f>
        <v/>
      </c>
      <c r="G376" s="15">
        <f>IF(D376=0,"",(B376-C376)/D376)</f>
        <v/>
      </c>
      <c r="H376" s="13">
        <f>MEDIAN(B347:B376)</f>
        <v/>
      </c>
      <c r="I376" s="13">
        <f>MEDIAN(ABS(B347:B376-H376))</f>
        <v/>
      </c>
      <c r="J376" s="15">
        <f>IF(I376=0,"",0.6745*(B376-H376)/I376)</f>
        <v/>
      </c>
      <c r="K376" s="13">
        <f>0.2*B376+0.8*K375</f>
        <v/>
      </c>
      <c r="L376" s="13">
        <f>C376+3*D376*SQRT(0.2/(2-0.2))</f>
        <v/>
      </c>
      <c r="M376" s="13">
        <f>C376-3*D376*SQRT(0.2/(2-0.2))</f>
        <v/>
      </c>
      <c r="N376" s="13">
        <f>MAX(0,N375+(B376-C376-0.5*D376))</f>
        <v/>
      </c>
      <c r="O376" s="13">
        <f>MIN(0,O375+(B376-C376+0.5*D376))</f>
        <v/>
      </c>
      <c r="P376">
        <f>IF(ABS(G376)&gt;1,P375+1,0)</f>
        <v/>
      </c>
      <c r="Q376">
        <f>IFS(OR(ABS(G376)&gt;3,N376&gt;5*D376,ABS(O376)&gt;5*D376,P376&gt;=5),"CRITICAL",OR(ABS(G376)&gt;2,P376&gt;=3,ABS(J376)&gt;3.5),"EARLY WARNING",ABS(G376)&gt;1,"WATCH",TRUE,"NORMAL")</f>
        <v/>
      </c>
    </row>
    <row r="377">
      <c r="A377" s="12" t="n">
        <v>45402</v>
      </c>
      <c r="B377" s="13">
        <f>Raw_Data!B377</f>
        <v/>
      </c>
      <c r="C377" s="13">
        <f>AVERAGE(B348:B377)</f>
        <v/>
      </c>
      <c r="D377" s="13">
        <f>STDEV.S(B348:B377)</f>
        <v/>
      </c>
      <c r="E377" s="13">
        <f>C377+3*D377</f>
        <v/>
      </c>
      <c r="F377" s="13">
        <f>C377-3*D377</f>
        <v/>
      </c>
      <c r="G377" s="15">
        <f>IF(D377=0,"",(B377-C377)/D377)</f>
        <v/>
      </c>
      <c r="H377" s="13">
        <f>MEDIAN(B348:B377)</f>
        <v/>
      </c>
      <c r="I377" s="13">
        <f>MEDIAN(ABS(B348:B377-H377))</f>
        <v/>
      </c>
      <c r="J377" s="15">
        <f>IF(I377=0,"",0.6745*(B377-H377)/I377)</f>
        <v/>
      </c>
      <c r="K377" s="13">
        <f>0.2*B377+0.8*K376</f>
        <v/>
      </c>
      <c r="L377" s="13">
        <f>C377+3*D377*SQRT(0.2/(2-0.2))</f>
        <v/>
      </c>
      <c r="M377" s="13">
        <f>C377-3*D377*SQRT(0.2/(2-0.2))</f>
        <v/>
      </c>
      <c r="N377" s="13">
        <f>MAX(0,N376+(B377-C377-0.5*D377))</f>
        <v/>
      </c>
      <c r="O377" s="13">
        <f>MIN(0,O376+(B377-C377+0.5*D377))</f>
        <v/>
      </c>
      <c r="P377">
        <f>IF(ABS(G377)&gt;1,P376+1,0)</f>
        <v/>
      </c>
      <c r="Q377">
        <f>IFS(OR(ABS(G377)&gt;3,N377&gt;5*D377,ABS(O377)&gt;5*D377,P377&gt;=5),"CRITICAL",OR(ABS(G377)&gt;2,P377&gt;=3,ABS(J377)&gt;3.5),"EARLY WARNING",ABS(G377)&gt;1,"WATCH",TRUE,"NORMAL")</f>
        <v/>
      </c>
    </row>
    <row r="378">
      <c r="A378" s="12" t="n">
        <v>45403</v>
      </c>
      <c r="B378" s="13">
        <f>Raw_Data!B378</f>
        <v/>
      </c>
      <c r="C378" s="13">
        <f>AVERAGE(B349:B378)</f>
        <v/>
      </c>
      <c r="D378" s="13">
        <f>STDEV.S(B349:B378)</f>
        <v/>
      </c>
      <c r="E378" s="13">
        <f>C378+3*D378</f>
        <v/>
      </c>
      <c r="F378" s="13">
        <f>C378-3*D378</f>
        <v/>
      </c>
      <c r="G378" s="15">
        <f>IF(D378=0,"",(B378-C378)/D378)</f>
        <v/>
      </c>
      <c r="H378" s="13">
        <f>MEDIAN(B349:B378)</f>
        <v/>
      </c>
      <c r="I378" s="13">
        <f>MEDIAN(ABS(B349:B378-H378))</f>
        <v/>
      </c>
      <c r="J378" s="15">
        <f>IF(I378=0,"",0.6745*(B378-H378)/I378)</f>
        <v/>
      </c>
      <c r="K378" s="13">
        <f>0.2*B378+0.8*K377</f>
        <v/>
      </c>
      <c r="L378" s="13">
        <f>C378+3*D378*SQRT(0.2/(2-0.2))</f>
        <v/>
      </c>
      <c r="M378" s="13">
        <f>C378-3*D378*SQRT(0.2/(2-0.2))</f>
        <v/>
      </c>
      <c r="N378" s="13">
        <f>MAX(0,N377+(B378-C378-0.5*D378))</f>
        <v/>
      </c>
      <c r="O378" s="13">
        <f>MIN(0,O377+(B378-C378+0.5*D378))</f>
        <v/>
      </c>
      <c r="P378">
        <f>IF(ABS(G378)&gt;1,P377+1,0)</f>
        <v/>
      </c>
      <c r="Q378">
        <f>IFS(OR(ABS(G378)&gt;3,N378&gt;5*D378,ABS(O378)&gt;5*D378,P378&gt;=5),"CRITICAL",OR(ABS(G378)&gt;2,P378&gt;=3,ABS(J378)&gt;3.5),"EARLY WARNING",ABS(G378)&gt;1,"WATCH",TRUE,"NORMAL")</f>
        <v/>
      </c>
    </row>
    <row r="379">
      <c r="A379" s="12" t="n">
        <v>45404</v>
      </c>
      <c r="B379" s="13">
        <f>Raw_Data!B379</f>
        <v/>
      </c>
      <c r="C379" s="13">
        <f>AVERAGE(B350:B379)</f>
        <v/>
      </c>
      <c r="D379" s="13">
        <f>STDEV.S(B350:B379)</f>
        <v/>
      </c>
      <c r="E379" s="13">
        <f>C379+3*D379</f>
        <v/>
      </c>
      <c r="F379" s="13">
        <f>C379-3*D379</f>
        <v/>
      </c>
      <c r="G379" s="15">
        <f>IF(D379=0,"",(B379-C379)/D379)</f>
        <v/>
      </c>
      <c r="H379" s="13">
        <f>MEDIAN(B350:B379)</f>
        <v/>
      </c>
      <c r="I379" s="13">
        <f>MEDIAN(ABS(B350:B379-H379))</f>
        <v/>
      </c>
      <c r="J379" s="15">
        <f>IF(I379=0,"",0.6745*(B379-H379)/I379)</f>
        <v/>
      </c>
      <c r="K379" s="13">
        <f>0.2*B379+0.8*K378</f>
        <v/>
      </c>
      <c r="L379" s="13">
        <f>C379+3*D379*SQRT(0.2/(2-0.2))</f>
        <v/>
      </c>
      <c r="M379" s="13">
        <f>C379-3*D379*SQRT(0.2/(2-0.2))</f>
        <v/>
      </c>
      <c r="N379" s="13">
        <f>MAX(0,N378+(B379-C379-0.5*D379))</f>
        <v/>
      </c>
      <c r="O379" s="13">
        <f>MIN(0,O378+(B379-C379+0.5*D379))</f>
        <v/>
      </c>
      <c r="P379">
        <f>IF(ABS(G379)&gt;1,P378+1,0)</f>
        <v/>
      </c>
      <c r="Q379">
        <f>IFS(OR(ABS(G379)&gt;3,N379&gt;5*D379,ABS(O379)&gt;5*D379,P379&gt;=5),"CRITICAL",OR(ABS(G379)&gt;2,P379&gt;=3,ABS(J379)&gt;3.5),"EARLY WARNING",ABS(G379)&gt;1,"WATCH",TRUE,"NORMAL")</f>
        <v/>
      </c>
    </row>
    <row r="380">
      <c r="A380" s="12" t="n">
        <v>45405</v>
      </c>
      <c r="B380" s="13">
        <f>Raw_Data!B380</f>
        <v/>
      </c>
      <c r="C380" s="13">
        <f>AVERAGE(B351:B380)</f>
        <v/>
      </c>
      <c r="D380" s="13">
        <f>STDEV.S(B351:B380)</f>
        <v/>
      </c>
      <c r="E380" s="13">
        <f>C380+3*D380</f>
        <v/>
      </c>
      <c r="F380" s="13">
        <f>C380-3*D380</f>
        <v/>
      </c>
      <c r="G380" s="15">
        <f>IF(D380=0,"",(B380-C380)/D380)</f>
        <v/>
      </c>
      <c r="H380" s="13">
        <f>MEDIAN(B351:B380)</f>
        <v/>
      </c>
      <c r="I380" s="13">
        <f>MEDIAN(ABS(B351:B380-H380))</f>
        <v/>
      </c>
      <c r="J380" s="15">
        <f>IF(I380=0,"",0.6745*(B380-H380)/I380)</f>
        <v/>
      </c>
      <c r="K380" s="13">
        <f>0.2*B380+0.8*K379</f>
        <v/>
      </c>
      <c r="L380" s="13">
        <f>C380+3*D380*SQRT(0.2/(2-0.2))</f>
        <v/>
      </c>
      <c r="M380" s="13">
        <f>C380-3*D380*SQRT(0.2/(2-0.2))</f>
        <v/>
      </c>
      <c r="N380" s="13">
        <f>MAX(0,N379+(B380-C380-0.5*D380))</f>
        <v/>
      </c>
      <c r="O380" s="13">
        <f>MIN(0,O379+(B380-C380+0.5*D380))</f>
        <v/>
      </c>
      <c r="P380">
        <f>IF(ABS(G380)&gt;1,P379+1,0)</f>
        <v/>
      </c>
      <c r="Q380">
        <f>IFS(OR(ABS(G380)&gt;3,N380&gt;5*D380,ABS(O380)&gt;5*D380,P380&gt;=5),"CRITICAL",OR(ABS(G380)&gt;2,P380&gt;=3,ABS(J380)&gt;3.5),"EARLY WARNING",ABS(G380)&gt;1,"WATCH",TRUE,"NORMAL")</f>
        <v/>
      </c>
    </row>
    <row r="381">
      <c r="A381" s="12" t="n">
        <v>45406</v>
      </c>
      <c r="B381" s="13">
        <f>Raw_Data!B381</f>
        <v/>
      </c>
      <c r="C381" s="13">
        <f>AVERAGE(B352:B381)</f>
        <v/>
      </c>
      <c r="D381" s="13">
        <f>STDEV.S(B352:B381)</f>
        <v/>
      </c>
      <c r="E381" s="13">
        <f>C381+3*D381</f>
        <v/>
      </c>
      <c r="F381" s="13">
        <f>C381-3*D381</f>
        <v/>
      </c>
      <c r="G381" s="15">
        <f>IF(D381=0,"",(B381-C381)/D381)</f>
        <v/>
      </c>
      <c r="H381" s="13">
        <f>MEDIAN(B352:B381)</f>
        <v/>
      </c>
      <c r="I381" s="13">
        <f>MEDIAN(ABS(B352:B381-H381))</f>
        <v/>
      </c>
      <c r="J381" s="15">
        <f>IF(I381=0,"",0.6745*(B381-H381)/I381)</f>
        <v/>
      </c>
      <c r="K381" s="13">
        <f>0.2*B381+0.8*K380</f>
        <v/>
      </c>
      <c r="L381" s="13">
        <f>C381+3*D381*SQRT(0.2/(2-0.2))</f>
        <v/>
      </c>
      <c r="M381" s="13">
        <f>C381-3*D381*SQRT(0.2/(2-0.2))</f>
        <v/>
      </c>
      <c r="N381" s="13">
        <f>MAX(0,N380+(B381-C381-0.5*D381))</f>
        <v/>
      </c>
      <c r="O381" s="13">
        <f>MIN(0,O380+(B381-C381+0.5*D381))</f>
        <v/>
      </c>
      <c r="P381">
        <f>IF(ABS(G381)&gt;1,P380+1,0)</f>
        <v/>
      </c>
      <c r="Q381">
        <f>IFS(OR(ABS(G381)&gt;3,N381&gt;5*D381,ABS(O381)&gt;5*D381,P381&gt;=5),"CRITICAL",OR(ABS(G381)&gt;2,P381&gt;=3,ABS(J381)&gt;3.5),"EARLY WARNING",ABS(G381)&gt;1,"WATCH",TRUE,"NORMAL")</f>
        <v/>
      </c>
    </row>
    <row r="382">
      <c r="A382" s="12" t="n">
        <v>45407</v>
      </c>
      <c r="B382" s="13">
        <f>Raw_Data!B382</f>
        <v/>
      </c>
      <c r="C382" s="13">
        <f>AVERAGE(B353:B382)</f>
        <v/>
      </c>
      <c r="D382" s="13">
        <f>STDEV.S(B353:B382)</f>
        <v/>
      </c>
      <c r="E382" s="13">
        <f>C382+3*D382</f>
        <v/>
      </c>
      <c r="F382" s="13">
        <f>C382-3*D382</f>
        <v/>
      </c>
      <c r="G382" s="15">
        <f>IF(D382=0,"",(B382-C382)/D382)</f>
        <v/>
      </c>
      <c r="H382" s="13">
        <f>MEDIAN(B353:B382)</f>
        <v/>
      </c>
      <c r="I382" s="13">
        <f>MEDIAN(ABS(B353:B382-H382))</f>
        <v/>
      </c>
      <c r="J382" s="15">
        <f>IF(I382=0,"",0.6745*(B382-H382)/I382)</f>
        <v/>
      </c>
      <c r="K382" s="13">
        <f>0.2*B382+0.8*K381</f>
        <v/>
      </c>
      <c r="L382" s="13">
        <f>C382+3*D382*SQRT(0.2/(2-0.2))</f>
        <v/>
      </c>
      <c r="M382" s="13">
        <f>C382-3*D382*SQRT(0.2/(2-0.2))</f>
        <v/>
      </c>
      <c r="N382" s="13">
        <f>MAX(0,N381+(B382-C382-0.5*D382))</f>
        <v/>
      </c>
      <c r="O382" s="13">
        <f>MIN(0,O381+(B382-C382+0.5*D382))</f>
        <v/>
      </c>
      <c r="P382">
        <f>IF(ABS(G382)&gt;1,P381+1,0)</f>
        <v/>
      </c>
      <c r="Q382">
        <f>IFS(OR(ABS(G382)&gt;3,N382&gt;5*D382,ABS(O382)&gt;5*D382,P382&gt;=5),"CRITICAL",OR(ABS(G382)&gt;2,P382&gt;=3,ABS(J382)&gt;3.5),"EARLY WARNING",ABS(G382)&gt;1,"WATCH",TRUE,"NORMAL")</f>
        <v/>
      </c>
    </row>
    <row r="383">
      <c r="A383" s="12" t="n">
        <v>45408</v>
      </c>
      <c r="B383" s="13">
        <f>Raw_Data!B383</f>
        <v/>
      </c>
      <c r="C383" s="13">
        <f>AVERAGE(B354:B383)</f>
        <v/>
      </c>
      <c r="D383" s="13">
        <f>STDEV.S(B354:B383)</f>
        <v/>
      </c>
      <c r="E383" s="13">
        <f>C383+3*D383</f>
        <v/>
      </c>
      <c r="F383" s="13">
        <f>C383-3*D383</f>
        <v/>
      </c>
      <c r="G383" s="15">
        <f>IF(D383=0,"",(B383-C383)/D383)</f>
        <v/>
      </c>
      <c r="H383" s="13">
        <f>MEDIAN(B354:B383)</f>
        <v/>
      </c>
      <c r="I383" s="13">
        <f>MEDIAN(ABS(B354:B383-H383))</f>
        <v/>
      </c>
      <c r="J383" s="15">
        <f>IF(I383=0,"",0.6745*(B383-H383)/I383)</f>
        <v/>
      </c>
      <c r="K383" s="13">
        <f>0.2*B383+0.8*K382</f>
        <v/>
      </c>
      <c r="L383" s="13">
        <f>C383+3*D383*SQRT(0.2/(2-0.2))</f>
        <v/>
      </c>
      <c r="M383" s="13">
        <f>C383-3*D383*SQRT(0.2/(2-0.2))</f>
        <v/>
      </c>
      <c r="N383" s="13">
        <f>MAX(0,N382+(B383-C383-0.5*D383))</f>
        <v/>
      </c>
      <c r="O383" s="13">
        <f>MIN(0,O382+(B383-C383+0.5*D383))</f>
        <v/>
      </c>
      <c r="P383">
        <f>IF(ABS(G383)&gt;1,P382+1,0)</f>
        <v/>
      </c>
      <c r="Q383">
        <f>IFS(OR(ABS(G383)&gt;3,N383&gt;5*D383,ABS(O383)&gt;5*D383,P383&gt;=5),"CRITICAL",OR(ABS(G383)&gt;2,P383&gt;=3,ABS(J383)&gt;3.5),"EARLY WARNING",ABS(G383)&gt;1,"WATCH",TRUE,"NORMAL")</f>
        <v/>
      </c>
    </row>
    <row r="384">
      <c r="A384" s="12" t="n">
        <v>45409</v>
      </c>
      <c r="B384" s="13">
        <f>Raw_Data!B384</f>
        <v/>
      </c>
      <c r="C384" s="13">
        <f>AVERAGE(B355:B384)</f>
        <v/>
      </c>
      <c r="D384" s="13">
        <f>STDEV.S(B355:B384)</f>
        <v/>
      </c>
      <c r="E384" s="13">
        <f>C384+3*D384</f>
        <v/>
      </c>
      <c r="F384" s="13">
        <f>C384-3*D384</f>
        <v/>
      </c>
      <c r="G384" s="15">
        <f>IF(D384=0,"",(B384-C384)/D384)</f>
        <v/>
      </c>
      <c r="H384" s="13">
        <f>MEDIAN(B355:B384)</f>
        <v/>
      </c>
      <c r="I384" s="13">
        <f>MEDIAN(ABS(B355:B384-H384))</f>
        <v/>
      </c>
      <c r="J384" s="15">
        <f>IF(I384=0,"",0.6745*(B384-H384)/I384)</f>
        <v/>
      </c>
      <c r="K384" s="13">
        <f>0.2*B384+0.8*K383</f>
        <v/>
      </c>
      <c r="L384" s="13">
        <f>C384+3*D384*SQRT(0.2/(2-0.2))</f>
        <v/>
      </c>
      <c r="M384" s="13">
        <f>C384-3*D384*SQRT(0.2/(2-0.2))</f>
        <v/>
      </c>
      <c r="N384" s="13">
        <f>MAX(0,N383+(B384-C384-0.5*D384))</f>
        <v/>
      </c>
      <c r="O384" s="13">
        <f>MIN(0,O383+(B384-C384+0.5*D384))</f>
        <v/>
      </c>
      <c r="P384">
        <f>IF(ABS(G384)&gt;1,P383+1,0)</f>
        <v/>
      </c>
      <c r="Q384">
        <f>IFS(OR(ABS(G384)&gt;3,N384&gt;5*D384,ABS(O384)&gt;5*D384,P384&gt;=5),"CRITICAL",OR(ABS(G384)&gt;2,P384&gt;=3,ABS(J384)&gt;3.5),"EARLY WARNING",ABS(G384)&gt;1,"WATCH",TRUE,"NORMAL")</f>
        <v/>
      </c>
    </row>
    <row r="385">
      <c r="A385" s="12" t="n">
        <v>45410</v>
      </c>
      <c r="B385" s="13">
        <f>Raw_Data!B385</f>
        <v/>
      </c>
      <c r="C385" s="13">
        <f>AVERAGE(B356:B385)</f>
        <v/>
      </c>
      <c r="D385" s="13">
        <f>STDEV.S(B356:B385)</f>
        <v/>
      </c>
      <c r="E385" s="13">
        <f>C385+3*D385</f>
        <v/>
      </c>
      <c r="F385" s="13">
        <f>C385-3*D385</f>
        <v/>
      </c>
      <c r="G385" s="15">
        <f>IF(D385=0,"",(B385-C385)/D385)</f>
        <v/>
      </c>
      <c r="H385" s="13">
        <f>MEDIAN(B356:B385)</f>
        <v/>
      </c>
      <c r="I385" s="13">
        <f>MEDIAN(ABS(B356:B385-H385))</f>
        <v/>
      </c>
      <c r="J385" s="15">
        <f>IF(I385=0,"",0.6745*(B385-H385)/I385)</f>
        <v/>
      </c>
      <c r="K385" s="13">
        <f>0.2*B385+0.8*K384</f>
        <v/>
      </c>
      <c r="L385" s="13">
        <f>C385+3*D385*SQRT(0.2/(2-0.2))</f>
        <v/>
      </c>
      <c r="M385" s="13">
        <f>C385-3*D385*SQRT(0.2/(2-0.2))</f>
        <v/>
      </c>
      <c r="N385" s="13">
        <f>MAX(0,N384+(B385-C385-0.5*D385))</f>
        <v/>
      </c>
      <c r="O385" s="13">
        <f>MIN(0,O384+(B385-C385+0.5*D385))</f>
        <v/>
      </c>
      <c r="P385">
        <f>IF(ABS(G385)&gt;1,P384+1,0)</f>
        <v/>
      </c>
      <c r="Q385">
        <f>IFS(OR(ABS(G385)&gt;3,N385&gt;5*D385,ABS(O385)&gt;5*D385,P385&gt;=5),"CRITICAL",OR(ABS(G385)&gt;2,P385&gt;=3,ABS(J385)&gt;3.5),"EARLY WARNING",ABS(G385)&gt;1,"WATCH",TRUE,"NORMAL")</f>
        <v/>
      </c>
    </row>
    <row r="386">
      <c r="A386" s="12" t="n">
        <v>45411</v>
      </c>
      <c r="B386" s="13">
        <f>Raw_Data!B386</f>
        <v/>
      </c>
      <c r="C386" s="13">
        <f>AVERAGE(B357:B386)</f>
        <v/>
      </c>
      <c r="D386" s="13">
        <f>STDEV.S(B357:B386)</f>
        <v/>
      </c>
      <c r="E386" s="13">
        <f>C386+3*D386</f>
        <v/>
      </c>
      <c r="F386" s="13">
        <f>C386-3*D386</f>
        <v/>
      </c>
      <c r="G386" s="15">
        <f>IF(D386=0,"",(B386-C386)/D386)</f>
        <v/>
      </c>
      <c r="H386" s="13">
        <f>MEDIAN(B357:B386)</f>
        <v/>
      </c>
      <c r="I386" s="13">
        <f>MEDIAN(ABS(B357:B386-H386))</f>
        <v/>
      </c>
      <c r="J386" s="15">
        <f>IF(I386=0,"",0.6745*(B386-H386)/I386)</f>
        <v/>
      </c>
      <c r="K386" s="13">
        <f>0.2*B386+0.8*K385</f>
        <v/>
      </c>
      <c r="L386" s="13">
        <f>C386+3*D386*SQRT(0.2/(2-0.2))</f>
        <v/>
      </c>
      <c r="M386" s="13">
        <f>C386-3*D386*SQRT(0.2/(2-0.2))</f>
        <v/>
      </c>
      <c r="N386" s="13">
        <f>MAX(0,N385+(B386-C386-0.5*D386))</f>
        <v/>
      </c>
      <c r="O386" s="13">
        <f>MIN(0,O385+(B386-C386+0.5*D386))</f>
        <v/>
      </c>
      <c r="P386">
        <f>IF(ABS(G386)&gt;1,P385+1,0)</f>
        <v/>
      </c>
      <c r="Q386">
        <f>IFS(OR(ABS(G386)&gt;3,N386&gt;5*D386,ABS(O386)&gt;5*D386,P386&gt;=5),"CRITICAL",OR(ABS(G386)&gt;2,P386&gt;=3,ABS(J386)&gt;3.5),"EARLY WARNING",ABS(G386)&gt;1,"WATCH",TRUE,"NORMAL")</f>
        <v/>
      </c>
    </row>
    <row r="387">
      <c r="A387" s="12" t="n">
        <v>45412</v>
      </c>
      <c r="B387" s="13">
        <f>Raw_Data!B387</f>
        <v/>
      </c>
      <c r="C387" s="13">
        <f>AVERAGE(B358:B387)</f>
        <v/>
      </c>
      <c r="D387" s="13">
        <f>STDEV.S(B358:B387)</f>
        <v/>
      </c>
      <c r="E387" s="13">
        <f>C387+3*D387</f>
        <v/>
      </c>
      <c r="F387" s="13">
        <f>C387-3*D387</f>
        <v/>
      </c>
      <c r="G387" s="15">
        <f>IF(D387=0,"",(B387-C387)/D387)</f>
        <v/>
      </c>
      <c r="H387" s="13">
        <f>MEDIAN(B358:B387)</f>
        <v/>
      </c>
      <c r="I387" s="13">
        <f>MEDIAN(ABS(B358:B387-H387))</f>
        <v/>
      </c>
      <c r="J387" s="15">
        <f>IF(I387=0,"",0.6745*(B387-H387)/I387)</f>
        <v/>
      </c>
      <c r="K387" s="13">
        <f>0.2*B387+0.8*K386</f>
        <v/>
      </c>
      <c r="L387" s="13">
        <f>C387+3*D387*SQRT(0.2/(2-0.2))</f>
        <v/>
      </c>
      <c r="M387" s="13">
        <f>C387-3*D387*SQRT(0.2/(2-0.2))</f>
        <v/>
      </c>
      <c r="N387" s="13">
        <f>MAX(0,N386+(B387-C387-0.5*D387))</f>
        <v/>
      </c>
      <c r="O387" s="13">
        <f>MIN(0,O386+(B387-C387+0.5*D387))</f>
        <v/>
      </c>
      <c r="P387">
        <f>IF(ABS(G387)&gt;1,P386+1,0)</f>
        <v/>
      </c>
      <c r="Q387">
        <f>IFS(OR(ABS(G387)&gt;3,N387&gt;5*D387,ABS(O387)&gt;5*D387,P387&gt;=5),"CRITICAL",OR(ABS(G387)&gt;2,P387&gt;=3,ABS(J387)&gt;3.5),"EARLY WARNING",ABS(G387)&gt;1,"WATCH",TRUE,"NORMAL")</f>
        <v/>
      </c>
    </row>
    <row r="388">
      <c r="A388" s="12" t="n">
        <v>45413</v>
      </c>
      <c r="B388" s="13">
        <f>Raw_Data!B388</f>
        <v/>
      </c>
      <c r="C388" s="13">
        <f>AVERAGE(B359:B388)</f>
        <v/>
      </c>
      <c r="D388" s="13">
        <f>STDEV.S(B359:B388)</f>
        <v/>
      </c>
      <c r="E388" s="13">
        <f>C388+3*D388</f>
        <v/>
      </c>
      <c r="F388" s="13">
        <f>C388-3*D388</f>
        <v/>
      </c>
      <c r="G388" s="15">
        <f>IF(D388=0,"",(B388-C388)/D388)</f>
        <v/>
      </c>
      <c r="H388" s="13">
        <f>MEDIAN(B359:B388)</f>
        <v/>
      </c>
      <c r="I388" s="13">
        <f>MEDIAN(ABS(B359:B388-H388))</f>
        <v/>
      </c>
      <c r="J388" s="15">
        <f>IF(I388=0,"",0.6745*(B388-H388)/I388)</f>
        <v/>
      </c>
      <c r="K388" s="13">
        <f>0.2*B388+0.8*K387</f>
        <v/>
      </c>
      <c r="L388" s="13">
        <f>C388+3*D388*SQRT(0.2/(2-0.2))</f>
        <v/>
      </c>
      <c r="M388" s="13">
        <f>C388-3*D388*SQRT(0.2/(2-0.2))</f>
        <v/>
      </c>
      <c r="N388" s="13">
        <f>MAX(0,N387+(B388-C388-0.5*D388))</f>
        <v/>
      </c>
      <c r="O388" s="13">
        <f>MIN(0,O387+(B388-C388+0.5*D388))</f>
        <v/>
      </c>
      <c r="P388">
        <f>IF(ABS(G388)&gt;1,P387+1,0)</f>
        <v/>
      </c>
      <c r="Q388">
        <f>IFS(OR(ABS(G388)&gt;3,N388&gt;5*D388,ABS(O388)&gt;5*D388,P388&gt;=5),"CRITICAL",OR(ABS(G388)&gt;2,P388&gt;=3,ABS(J388)&gt;3.5),"EARLY WARNING",ABS(G388)&gt;1,"WATCH",TRUE,"NORMAL")</f>
        <v/>
      </c>
    </row>
    <row r="389">
      <c r="A389" s="12" t="n">
        <v>45414</v>
      </c>
      <c r="B389" s="13">
        <f>Raw_Data!B389</f>
        <v/>
      </c>
      <c r="C389" s="13">
        <f>AVERAGE(B360:B389)</f>
        <v/>
      </c>
      <c r="D389" s="13">
        <f>STDEV.S(B360:B389)</f>
        <v/>
      </c>
      <c r="E389" s="13">
        <f>C389+3*D389</f>
        <v/>
      </c>
      <c r="F389" s="13">
        <f>C389-3*D389</f>
        <v/>
      </c>
      <c r="G389" s="15">
        <f>IF(D389=0,"",(B389-C389)/D389)</f>
        <v/>
      </c>
      <c r="H389" s="13">
        <f>MEDIAN(B360:B389)</f>
        <v/>
      </c>
      <c r="I389" s="13">
        <f>MEDIAN(ABS(B360:B389-H389))</f>
        <v/>
      </c>
      <c r="J389" s="15">
        <f>IF(I389=0,"",0.6745*(B389-H389)/I389)</f>
        <v/>
      </c>
      <c r="K389" s="13">
        <f>0.2*B389+0.8*K388</f>
        <v/>
      </c>
      <c r="L389" s="13">
        <f>C389+3*D389*SQRT(0.2/(2-0.2))</f>
        <v/>
      </c>
      <c r="M389" s="13">
        <f>C389-3*D389*SQRT(0.2/(2-0.2))</f>
        <v/>
      </c>
      <c r="N389" s="13">
        <f>MAX(0,N388+(B389-C389-0.5*D389))</f>
        <v/>
      </c>
      <c r="O389" s="13">
        <f>MIN(0,O388+(B389-C389+0.5*D389))</f>
        <v/>
      </c>
      <c r="P389">
        <f>IF(ABS(G389)&gt;1,P388+1,0)</f>
        <v/>
      </c>
      <c r="Q389">
        <f>IFS(OR(ABS(G389)&gt;3,N389&gt;5*D389,ABS(O389)&gt;5*D389,P389&gt;=5),"CRITICAL",OR(ABS(G389)&gt;2,P389&gt;=3,ABS(J389)&gt;3.5),"EARLY WARNING",ABS(G389)&gt;1,"WATCH",TRUE,"NORMAL")</f>
        <v/>
      </c>
    </row>
    <row r="390">
      <c r="A390" s="12" t="n">
        <v>45415</v>
      </c>
      <c r="B390" s="13">
        <f>Raw_Data!B390</f>
        <v/>
      </c>
      <c r="C390" s="13">
        <f>AVERAGE(B361:B390)</f>
        <v/>
      </c>
      <c r="D390" s="13">
        <f>STDEV.S(B361:B390)</f>
        <v/>
      </c>
      <c r="E390" s="13">
        <f>C390+3*D390</f>
        <v/>
      </c>
      <c r="F390" s="13">
        <f>C390-3*D390</f>
        <v/>
      </c>
      <c r="G390" s="15">
        <f>IF(D390=0,"",(B390-C390)/D390)</f>
        <v/>
      </c>
      <c r="H390" s="13">
        <f>MEDIAN(B361:B390)</f>
        <v/>
      </c>
      <c r="I390" s="13">
        <f>MEDIAN(ABS(B361:B390-H390))</f>
        <v/>
      </c>
      <c r="J390" s="15">
        <f>IF(I390=0,"",0.6745*(B390-H390)/I390)</f>
        <v/>
      </c>
      <c r="K390" s="13">
        <f>0.2*B390+0.8*K389</f>
        <v/>
      </c>
      <c r="L390" s="13">
        <f>C390+3*D390*SQRT(0.2/(2-0.2))</f>
        <v/>
      </c>
      <c r="M390" s="13">
        <f>C390-3*D390*SQRT(0.2/(2-0.2))</f>
        <v/>
      </c>
      <c r="N390" s="13">
        <f>MAX(0,N389+(B390-C390-0.5*D390))</f>
        <v/>
      </c>
      <c r="O390" s="13">
        <f>MIN(0,O389+(B390-C390+0.5*D390))</f>
        <v/>
      </c>
      <c r="P390">
        <f>IF(ABS(G390)&gt;1,P389+1,0)</f>
        <v/>
      </c>
      <c r="Q390">
        <f>IFS(OR(ABS(G390)&gt;3,N390&gt;5*D390,ABS(O390)&gt;5*D390,P390&gt;=5),"CRITICAL",OR(ABS(G390)&gt;2,P390&gt;=3,ABS(J390)&gt;3.5),"EARLY WARNING",ABS(G390)&gt;1,"WATCH",TRUE,"NORMAL")</f>
        <v/>
      </c>
    </row>
    <row r="391">
      <c r="A391" s="12" t="n">
        <v>45416</v>
      </c>
      <c r="B391" s="13">
        <f>Raw_Data!B391</f>
        <v/>
      </c>
      <c r="C391" s="13">
        <f>AVERAGE(B362:B391)</f>
        <v/>
      </c>
      <c r="D391" s="13">
        <f>STDEV.S(B362:B391)</f>
        <v/>
      </c>
      <c r="E391" s="13">
        <f>C391+3*D391</f>
        <v/>
      </c>
      <c r="F391" s="13">
        <f>C391-3*D391</f>
        <v/>
      </c>
      <c r="G391" s="15">
        <f>IF(D391=0,"",(B391-C391)/D391)</f>
        <v/>
      </c>
      <c r="H391" s="13">
        <f>MEDIAN(B362:B391)</f>
        <v/>
      </c>
      <c r="I391" s="13">
        <f>MEDIAN(ABS(B362:B391-H391))</f>
        <v/>
      </c>
      <c r="J391" s="15">
        <f>IF(I391=0,"",0.6745*(B391-H391)/I391)</f>
        <v/>
      </c>
      <c r="K391" s="13">
        <f>0.2*B391+0.8*K390</f>
        <v/>
      </c>
      <c r="L391" s="13">
        <f>C391+3*D391*SQRT(0.2/(2-0.2))</f>
        <v/>
      </c>
      <c r="M391" s="13">
        <f>C391-3*D391*SQRT(0.2/(2-0.2))</f>
        <v/>
      </c>
      <c r="N391" s="13">
        <f>MAX(0,N390+(B391-C391-0.5*D391))</f>
        <v/>
      </c>
      <c r="O391" s="13">
        <f>MIN(0,O390+(B391-C391+0.5*D391))</f>
        <v/>
      </c>
      <c r="P391">
        <f>IF(ABS(G391)&gt;1,P390+1,0)</f>
        <v/>
      </c>
      <c r="Q391">
        <f>IFS(OR(ABS(G391)&gt;3,N391&gt;5*D391,ABS(O391)&gt;5*D391,P391&gt;=5),"CRITICAL",OR(ABS(G391)&gt;2,P391&gt;=3,ABS(J391)&gt;3.5),"EARLY WARNING",ABS(G391)&gt;1,"WATCH",TRUE,"NORMAL")</f>
        <v/>
      </c>
    </row>
    <row r="392">
      <c r="A392" s="12" t="n">
        <v>45417</v>
      </c>
      <c r="B392" s="13">
        <f>Raw_Data!B392</f>
        <v/>
      </c>
      <c r="C392" s="13">
        <f>AVERAGE(B363:B392)</f>
        <v/>
      </c>
      <c r="D392" s="13">
        <f>STDEV.S(B363:B392)</f>
        <v/>
      </c>
      <c r="E392" s="13">
        <f>C392+3*D392</f>
        <v/>
      </c>
      <c r="F392" s="13">
        <f>C392-3*D392</f>
        <v/>
      </c>
      <c r="G392" s="15">
        <f>IF(D392=0,"",(B392-C392)/D392)</f>
        <v/>
      </c>
      <c r="H392" s="13">
        <f>MEDIAN(B363:B392)</f>
        <v/>
      </c>
      <c r="I392" s="13">
        <f>MEDIAN(ABS(B363:B392-H392))</f>
        <v/>
      </c>
      <c r="J392" s="15">
        <f>IF(I392=0,"",0.6745*(B392-H392)/I392)</f>
        <v/>
      </c>
      <c r="K392" s="13">
        <f>0.2*B392+0.8*K391</f>
        <v/>
      </c>
      <c r="L392" s="13">
        <f>C392+3*D392*SQRT(0.2/(2-0.2))</f>
        <v/>
      </c>
      <c r="M392" s="13">
        <f>C392-3*D392*SQRT(0.2/(2-0.2))</f>
        <v/>
      </c>
      <c r="N392" s="13">
        <f>MAX(0,N391+(B392-C392-0.5*D392))</f>
        <v/>
      </c>
      <c r="O392" s="13">
        <f>MIN(0,O391+(B392-C392+0.5*D392))</f>
        <v/>
      </c>
      <c r="P392">
        <f>IF(ABS(G392)&gt;1,P391+1,0)</f>
        <v/>
      </c>
      <c r="Q392">
        <f>IFS(OR(ABS(G392)&gt;3,N392&gt;5*D392,ABS(O392)&gt;5*D392,P392&gt;=5),"CRITICAL",OR(ABS(G392)&gt;2,P392&gt;=3,ABS(J392)&gt;3.5),"EARLY WARNING",ABS(G392)&gt;1,"WATCH",TRUE,"NORMAL")</f>
        <v/>
      </c>
    </row>
    <row r="393">
      <c r="A393" s="12" t="n">
        <v>45418</v>
      </c>
      <c r="B393" s="13">
        <f>Raw_Data!B393</f>
        <v/>
      </c>
      <c r="C393" s="13">
        <f>AVERAGE(B364:B393)</f>
        <v/>
      </c>
      <c r="D393" s="13">
        <f>STDEV.S(B364:B393)</f>
        <v/>
      </c>
      <c r="E393" s="13">
        <f>C393+3*D393</f>
        <v/>
      </c>
      <c r="F393" s="13">
        <f>C393-3*D393</f>
        <v/>
      </c>
      <c r="G393" s="15">
        <f>IF(D393=0,"",(B393-C393)/D393)</f>
        <v/>
      </c>
      <c r="H393" s="13">
        <f>MEDIAN(B364:B393)</f>
        <v/>
      </c>
      <c r="I393" s="13">
        <f>MEDIAN(ABS(B364:B393-H393))</f>
        <v/>
      </c>
      <c r="J393" s="15">
        <f>IF(I393=0,"",0.6745*(B393-H393)/I393)</f>
        <v/>
      </c>
      <c r="K393" s="13">
        <f>0.2*B393+0.8*K392</f>
        <v/>
      </c>
      <c r="L393" s="13">
        <f>C393+3*D393*SQRT(0.2/(2-0.2))</f>
        <v/>
      </c>
      <c r="M393" s="13">
        <f>C393-3*D393*SQRT(0.2/(2-0.2))</f>
        <v/>
      </c>
      <c r="N393" s="13">
        <f>MAX(0,N392+(B393-C393-0.5*D393))</f>
        <v/>
      </c>
      <c r="O393" s="13">
        <f>MIN(0,O392+(B393-C393+0.5*D393))</f>
        <v/>
      </c>
      <c r="P393">
        <f>IF(ABS(G393)&gt;1,P392+1,0)</f>
        <v/>
      </c>
      <c r="Q393">
        <f>IFS(OR(ABS(G393)&gt;3,N393&gt;5*D393,ABS(O393)&gt;5*D393,P393&gt;=5),"CRITICAL",OR(ABS(G393)&gt;2,P393&gt;=3,ABS(J393)&gt;3.5),"EARLY WARNING",ABS(G393)&gt;1,"WATCH",TRUE,"NORMAL")</f>
        <v/>
      </c>
    </row>
    <row r="394">
      <c r="A394" s="12" t="n">
        <v>45419</v>
      </c>
      <c r="B394" s="13">
        <f>Raw_Data!B394</f>
        <v/>
      </c>
      <c r="C394" s="13">
        <f>AVERAGE(B365:B394)</f>
        <v/>
      </c>
      <c r="D394" s="13">
        <f>STDEV.S(B365:B394)</f>
        <v/>
      </c>
      <c r="E394" s="13">
        <f>C394+3*D394</f>
        <v/>
      </c>
      <c r="F394" s="13">
        <f>C394-3*D394</f>
        <v/>
      </c>
      <c r="G394" s="15">
        <f>IF(D394=0,"",(B394-C394)/D394)</f>
        <v/>
      </c>
      <c r="H394" s="13">
        <f>MEDIAN(B365:B394)</f>
        <v/>
      </c>
      <c r="I394" s="13">
        <f>MEDIAN(ABS(B365:B394-H394))</f>
        <v/>
      </c>
      <c r="J394" s="15">
        <f>IF(I394=0,"",0.6745*(B394-H394)/I394)</f>
        <v/>
      </c>
      <c r="K394" s="13">
        <f>0.2*B394+0.8*K393</f>
        <v/>
      </c>
      <c r="L394" s="13">
        <f>C394+3*D394*SQRT(0.2/(2-0.2))</f>
        <v/>
      </c>
      <c r="M394" s="13">
        <f>C394-3*D394*SQRT(0.2/(2-0.2))</f>
        <v/>
      </c>
      <c r="N394" s="13">
        <f>MAX(0,N393+(B394-C394-0.5*D394))</f>
        <v/>
      </c>
      <c r="O394" s="13">
        <f>MIN(0,O393+(B394-C394+0.5*D394))</f>
        <v/>
      </c>
      <c r="P394">
        <f>IF(ABS(G394)&gt;1,P393+1,0)</f>
        <v/>
      </c>
      <c r="Q394">
        <f>IFS(OR(ABS(G394)&gt;3,N394&gt;5*D394,ABS(O394)&gt;5*D394,P394&gt;=5),"CRITICAL",OR(ABS(G394)&gt;2,P394&gt;=3,ABS(J394)&gt;3.5),"EARLY WARNING",ABS(G394)&gt;1,"WATCH",TRUE,"NORMAL")</f>
        <v/>
      </c>
    </row>
    <row r="395">
      <c r="A395" s="12" t="n">
        <v>45420</v>
      </c>
      <c r="B395" s="13">
        <f>Raw_Data!B395</f>
        <v/>
      </c>
      <c r="C395" s="13">
        <f>AVERAGE(B366:B395)</f>
        <v/>
      </c>
      <c r="D395" s="13">
        <f>STDEV.S(B366:B395)</f>
        <v/>
      </c>
      <c r="E395" s="13">
        <f>C395+3*D395</f>
        <v/>
      </c>
      <c r="F395" s="13">
        <f>C395-3*D395</f>
        <v/>
      </c>
      <c r="G395" s="15">
        <f>IF(D395=0,"",(B395-C395)/D395)</f>
        <v/>
      </c>
      <c r="H395" s="13">
        <f>MEDIAN(B366:B395)</f>
        <v/>
      </c>
      <c r="I395" s="13">
        <f>MEDIAN(ABS(B366:B395-H395))</f>
        <v/>
      </c>
      <c r="J395" s="15">
        <f>IF(I395=0,"",0.6745*(B395-H395)/I395)</f>
        <v/>
      </c>
      <c r="K395" s="13">
        <f>0.2*B395+0.8*K394</f>
        <v/>
      </c>
      <c r="L395" s="13">
        <f>C395+3*D395*SQRT(0.2/(2-0.2))</f>
        <v/>
      </c>
      <c r="M395" s="13">
        <f>C395-3*D395*SQRT(0.2/(2-0.2))</f>
        <v/>
      </c>
      <c r="N395" s="13">
        <f>MAX(0,N394+(B395-C395-0.5*D395))</f>
        <v/>
      </c>
      <c r="O395" s="13">
        <f>MIN(0,O394+(B395-C395+0.5*D395))</f>
        <v/>
      </c>
      <c r="P395">
        <f>IF(ABS(G395)&gt;1,P394+1,0)</f>
        <v/>
      </c>
      <c r="Q395">
        <f>IFS(OR(ABS(G395)&gt;3,N395&gt;5*D395,ABS(O395)&gt;5*D395,P395&gt;=5),"CRITICAL",OR(ABS(G395)&gt;2,P395&gt;=3,ABS(J395)&gt;3.5),"EARLY WARNING",ABS(G395)&gt;1,"WATCH",TRUE,"NORMAL")</f>
        <v/>
      </c>
    </row>
    <row r="396">
      <c r="A396" s="12" t="n">
        <v>45421</v>
      </c>
      <c r="B396" s="13">
        <f>Raw_Data!B396</f>
        <v/>
      </c>
      <c r="C396" s="13">
        <f>AVERAGE(B367:B396)</f>
        <v/>
      </c>
      <c r="D396" s="13">
        <f>STDEV.S(B367:B396)</f>
        <v/>
      </c>
      <c r="E396" s="13">
        <f>C396+3*D396</f>
        <v/>
      </c>
      <c r="F396" s="13">
        <f>C396-3*D396</f>
        <v/>
      </c>
      <c r="G396" s="15">
        <f>IF(D396=0,"",(B396-C396)/D396)</f>
        <v/>
      </c>
      <c r="H396" s="13">
        <f>MEDIAN(B367:B396)</f>
        <v/>
      </c>
      <c r="I396" s="13">
        <f>MEDIAN(ABS(B367:B396-H396))</f>
        <v/>
      </c>
      <c r="J396" s="15">
        <f>IF(I396=0,"",0.6745*(B396-H396)/I396)</f>
        <v/>
      </c>
      <c r="K396" s="13">
        <f>0.2*B396+0.8*K395</f>
        <v/>
      </c>
      <c r="L396" s="13">
        <f>C396+3*D396*SQRT(0.2/(2-0.2))</f>
        <v/>
      </c>
      <c r="M396" s="13">
        <f>C396-3*D396*SQRT(0.2/(2-0.2))</f>
        <v/>
      </c>
      <c r="N396" s="13">
        <f>MAX(0,N395+(B396-C396-0.5*D396))</f>
        <v/>
      </c>
      <c r="O396" s="13">
        <f>MIN(0,O395+(B396-C396+0.5*D396))</f>
        <v/>
      </c>
      <c r="P396">
        <f>IF(ABS(G396)&gt;1,P395+1,0)</f>
        <v/>
      </c>
      <c r="Q396">
        <f>IFS(OR(ABS(G396)&gt;3,N396&gt;5*D396,ABS(O396)&gt;5*D396,P396&gt;=5),"CRITICAL",OR(ABS(G396)&gt;2,P396&gt;=3,ABS(J396)&gt;3.5),"EARLY WARNING",ABS(G396)&gt;1,"WATCH",TRUE,"NORMAL")</f>
        <v/>
      </c>
    </row>
    <row r="397">
      <c r="A397" s="12" t="n">
        <v>45422</v>
      </c>
      <c r="B397" s="13">
        <f>Raw_Data!B397</f>
        <v/>
      </c>
      <c r="C397" s="13">
        <f>AVERAGE(B368:B397)</f>
        <v/>
      </c>
      <c r="D397" s="13">
        <f>STDEV.S(B368:B397)</f>
        <v/>
      </c>
      <c r="E397" s="13">
        <f>C397+3*D397</f>
        <v/>
      </c>
      <c r="F397" s="13">
        <f>C397-3*D397</f>
        <v/>
      </c>
      <c r="G397" s="15">
        <f>IF(D397=0,"",(B397-C397)/D397)</f>
        <v/>
      </c>
      <c r="H397" s="13">
        <f>MEDIAN(B368:B397)</f>
        <v/>
      </c>
      <c r="I397" s="13">
        <f>MEDIAN(ABS(B368:B397-H397))</f>
        <v/>
      </c>
      <c r="J397" s="15">
        <f>IF(I397=0,"",0.6745*(B397-H397)/I397)</f>
        <v/>
      </c>
      <c r="K397" s="13">
        <f>0.2*B397+0.8*K396</f>
        <v/>
      </c>
      <c r="L397" s="13">
        <f>C397+3*D397*SQRT(0.2/(2-0.2))</f>
        <v/>
      </c>
      <c r="M397" s="13">
        <f>C397-3*D397*SQRT(0.2/(2-0.2))</f>
        <v/>
      </c>
      <c r="N397" s="13">
        <f>MAX(0,N396+(B397-C397-0.5*D397))</f>
        <v/>
      </c>
      <c r="O397" s="13">
        <f>MIN(0,O396+(B397-C397+0.5*D397))</f>
        <v/>
      </c>
      <c r="P397">
        <f>IF(ABS(G397)&gt;1,P396+1,0)</f>
        <v/>
      </c>
      <c r="Q397">
        <f>IFS(OR(ABS(G397)&gt;3,N397&gt;5*D397,ABS(O397)&gt;5*D397,P397&gt;=5),"CRITICAL",OR(ABS(G397)&gt;2,P397&gt;=3,ABS(J397)&gt;3.5),"EARLY WARNING",ABS(G397)&gt;1,"WATCH",TRUE,"NORMAL")</f>
        <v/>
      </c>
    </row>
    <row r="398">
      <c r="A398" s="12" t="n">
        <v>45423</v>
      </c>
      <c r="B398" s="13">
        <f>Raw_Data!B398</f>
        <v/>
      </c>
      <c r="C398" s="13">
        <f>AVERAGE(B369:B398)</f>
        <v/>
      </c>
      <c r="D398" s="13">
        <f>STDEV.S(B369:B398)</f>
        <v/>
      </c>
      <c r="E398" s="13">
        <f>C398+3*D398</f>
        <v/>
      </c>
      <c r="F398" s="13">
        <f>C398-3*D398</f>
        <v/>
      </c>
      <c r="G398" s="15">
        <f>IF(D398=0,"",(B398-C398)/D398)</f>
        <v/>
      </c>
      <c r="H398" s="13">
        <f>MEDIAN(B369:B398)</f>
        <v/>
      </c>
      <c r="I398" s="13">
        <f>MEDIAN(ABS(B369:B398-H398))</f>
        <v/>
      </c>
      <c r="J398" s="15">
        <f>IF(I398=0,"",0.6745*(B398-H398)/I398)</f>
        <v/>
      </c>
      <c r="K398" s="13">
        <f>0.2*B398+0.8*K397</f>
        <v/>
      </c>
      <c r="L398" s="13">
        <f>C398+3*D398*SQRT(0.2/(2-0.2))</f>
        <v/>
      </c>
      <c r="M398" s="13">
        <f>C398-3*D398*SQRT(0.2/(2-0.2))</f>
        <v/>
      </c>
      <c r="N398" s="13">
        <f>MAX(0,N397+(B398-C398-0.5*D398))</f>
        <v/>
      </c>
      <c r="O398" s="13">
        <f>MIN(0,O397+(B398-C398+0.5*D398))</f>
        <v/>
      </c>
      <c r="P398">
        <f>IF(ABS(G398)&gt;1,P397+1,0)</f>
        <v/>
      </c>
      <c r="Q398">
        <f>IFS(OR(ABS(G398)&gt;3,N398&gt;5*D398,ABS(O398)&gt;5*D398,P398&gt;=5),"CRITICAL",OR(ABS(G398)&gt;2,P398&gt;=3,ABS(J398)&gt;3.5),"EARLY WARNING",ABS(G398)&gt;1,"WATCH",TRUE,"NORMAL")</f>
        <v/>
      </c>
    </row>
    <row r="399">
      <c r="A399" s="12" t="n">
        <v>45424</v>
      </c>
      <c r="B399" s="13">
        <f>Raw_Data!B399</f>
        <v/>
      </c>
      <c r="C399" s="13">
        <f>AVERAGE(B370:B399)</f>
        <v/>
      </c>
      <c r="D399" s="13">
        <f>STDEV.S(B370:B399)</f>
        <v/>
      </c>
      <c r="E399" s="13">
        <f>C399+3*D399</f>
        <v/>
      </c>
      <c r="F399" s="13">
        <f>C399-3*D399</f>
        <v/>
      </c>
      <c r="G399" s="15">
        <f>IF(D399=0,"",(B399-C399)/D399)</f>
        <v/>
      </c>
      <c r="H399" s="13">
        <f>MEDIAN(B370:B399)</f>
        <v/>
      </c>
      <c r="I399" s="13">
        <f>MEDIAN(ABS(B370:B399-H399))</f>
        <v/>
      </c>
      <c r="J399" s="15">
        <f>IF(I399=0,"",0.6745*(B399-H399)/I399)</f>
        <v/>
      </c>
      <c r="K399" s="13">
        <f>0.2*B399+0.8*K398</f>
        <v/>
      </c>
      <c r="L399" s="13">
        <f>C399+3*D399*SQRT(0.2/(2-0.2))</f>
        <v/>
      </c>
      <c r="M399" s="13">
        <f>C399-3*D399*SQRT(0.2/(2-0.2))</f>
        <v/>
      </c>
      <c r="N399" s="13">
        <f>MAX(0,N398+(B399-C399-0.5*D399))</f>
        <v/>
      </c>
      <c r="O399" s="13">
        <f>MIN(0,O398+(B399-C399+0.5*D399))</f>
        <v/>
      </c>
      <c r="P399">
        <f>IF(ABS(G399)&gt;1,P398+1,0)</f>
        <v/>
      </c>
      <c r="Q399">
        <f>IFS(OR(ABS(G399)&gt;3,N399&gt;5*D399,ABS(O399)&gt;5*D399,P399&gt;=5),"CRITICAL",OR(ABS(G399)&gt;2,P399&gt;=3,ABS(J399)&gt;3.5),"EARLY WARNING",ABS(G399)&gt;1,"WATCH",TRUE,"NORMAL")</f>
        <v/>
      </c>
    </row>
    <row r="400">
      <c r="A400" s="12" t="n">
        <v>45425</v>
      </c>
      <c r="B400" s="13">
        <f>Raw_Data!B400</f>
        <v/>
      </c>
      <c r="C400" s="13">
        <f>AVERAGE(B371:B400)</f>
        <v/>
      </c>
      <c r="D400" s="13">
        <f>STDEV.S(B371:B400)</f>
        <v/>
      </c>
      <c r="E400" s="13">
        <f>C400+3*D400</f>
        <v/>
      </c>
      <c r="F400" s="13">
        <f>C400-3*D400</f>
        <v/>
      </c>
      <c r="G400" s="15">
        <f>IF(D400=0,"",(B400-C400)/D400)</f>
        <v/>
      </c>
      <c r="H400" s="13">
        <f>MEDIAN(B371:B400)</f>
        <v/>
      </c>
      <c r="I400" s="13">
        <f>MEDIAN(ABS(B371:B400-H400))</f>
        <v/>
      </c>
      <c r="J400" s="15">
        <f>IF(I400=0,"",0.6745*(B400-H400)/I400)</f>
        <v/>
      </c>
      <c r="K400" s="13">
        <f>0.2*B400+0.8*K399</f>
        <v/>
      </c>
      <c r="L400" s="13">
        <f>C400+3*D400*SQRT(0.2/(2-0.2))</f>
        <v/>
      </c>
      <c r="M400" s="13">
        <f>C400-3*D400*SQRT(0.2/(2-0.2))</f>
        <v/>
      </c>
      <c r="N400" s="13">
        <f>MAX(0,N399+(B400-C400-0.5*D400))</f>
        <v/>
      </c>
      <c r="O400" s="13">
        <f>MIN(0,O399+(B400-C400+0.5*D400))</f>
        <v/>
      </c>
      <c r="P400">
        <f>IF(ABS(G400)&gt;1,P399+1,0)</f>
        <v/>
      </c>
      <c r="Q400">
        <f>IFS(OR(ABS(G400)&gt;3,N400&gt;5*D400,ABS(O400)&gt;5*D400,P400&gt;=5),"CRITICAL",OR(ABS(G400)&gt;2,P400&gt;=3,ABS(J400)&gt;3.5),"EARLY WARNING",ABS(G400)&gt;1,"WATCH",TRUE,"NORMAL")</f>
        <v/>
      </c>
    </row>
    <row r="401">
      <c r="A401" s="12" t="n">
        <v>45426</v>
      </c>
      <c r="B401" s="13">
        <f>Raw_Data!B401</f>
        <v/>
      </c>
      <c r="C401" s="13">
        <f>AVERAGE(B372:B401)</f>
        <v/>
      </c>
      <c r="D401" s="13">
        <f>STDEV.S(B372:B401)</f>
        <v/>
      </c>
      <c r="E401" s="13">
        <f>C401+3*D401</f>
        <v/>
      </c>
      <c r="F401" s="13">
        <f>C401-3*D401</f>
        <v/>
      </c>
      <c r="G401" s="15">
        <f>IF(D401=0,"",(B401-C401)/D401)</f>
        <v/>
      </c>
      <c r="H401" s="13">
        <f>MEDIAN(B372:B401)</f>
        <v/>
      </c>
      <c r="I401" s="13">
        <f>MEDIAN(ABS(B372:B401-H401))</f>
        <v/>
      </c>
      <c r="J401" s="15">
        <f>IF(I401=0,"",0.6745*(B401-H401)/I401)</f>
        <v/>
      </c>
      <c r="K401" s="13">
        <f>0.2*B401+0.8*K400</f>
        <v/>
      </c>
      <c r="L401" s="13">
        <f>C401+3*D401*SQRT(0.2/(2-0.2))</f>
        <v/>
      </c>
      <c r="M401" s="13">
        <f>C401-3*D401*SQRT(0.2/(2-0.2))</f>
        <v/>
      </c>
      <c r="N401" s="13">
        <f>MAX(0,N400+(B401-C401-0.5*D401))</f>
        <v/>
      </c>
      <c r="O401" s="13">
        <f>MIN(0,O400+(B401-C401+0.5*D401))</f>
        <v/>
      </c>
      <c r="P401">
        <f>IF(ABS(G401)&gt;1,P400+1,0)</f>
        <v/>
      </c>
      <c r="Q401">
        <f>IFS(OR(ABS(G401)&gt;3,N401&gt;5*D401,ABS(O401)&gt;5*D401,P401&gt;=5),"CRITICAL",OR(ABS(G401)&gt;2,P401&gt;=3,ABS(J401)&gt;3.5),"EARLY WARNING",ABS(G401)&gt;1,"WATCH",TRUE,"NORMAL")</f>
        <v/>
      </c>
    </row>
    <row r="402">
      <c r="A402" s="12" t="n">
        <v>45427</v>
      </c>
      <c r="B402" s="13">
        <f>Raw_Data!B402</f>
        <v/>
      </c>
      <c r="C402" s="13">
        <f>AVERAGE(B373:B402)</f>
        <v/>
      </c>
      <c r="D402" s="13">
        <f>STDEV.S(B373:B402)</f>
        <v/>
      </c>
      <c r="E402" s="13">
        <f>C402+3*D402</f>
        <v/>
      </c>
      <c r="F402" s="13">
        <f>C402-3*D402</f>
        <v/>
      </c>
      <c r="G402" s="15">
        <f>IF(D402=0,"",(B402-C402)/D402)</f>
        <v/>
      </c>
      <c r="H402" s="13">
        <f>MEDIAN(B373:B402)</f>
        <v/>
      </c>
      <c r="I402" s="13">
        <f>MEDIAN(ABS(B373:B402-H402))</f>
        <v/>
      </c>
      <c r="J402" s="15">
        <f>IF(I402=0,"",0.6745*(B402-H402)/I402)</f>
        <v/>
      </c>
      <c r="K402" s="13">
        <f>0.2*B402+0.8*K401</f>
        <v/>
      </c>
      <c r="L402" s="13">
        <f>C402+3*D402*SQRT(0.2/(2-0.2))</f>
        <v/>
      </c>
      <c r="M402" s="13">
        <f>C402-3*D402*SQRT(0.2/(2-0.2))</f>
        <v/>
      </c>
      <c r="N402" s="13">
        <f>MAX(0,N401+(B402-C402-0.5*D402))</f>
        <v/>
      </c>
      <c r="O402" s="13">
        <f>MIN(0,O401+(B402-C402+0.5*D402))</f>
        <v/>
      </c>
      <c r="P402">
        <f>IF(ABS(G402)&gt;1,P401+1,0)</f>
        <v/>
      </c>
      <c r="Q402">
        <f>IFS(OR(ABS(G402)&gt;3,N402&gt;5*D402,ABS(O402)&gt;5*D402,P402&gt;=5),"CRITICAL",OR(ABS(G402)&gt;2,P402&gt;=3,ABS(J402)&gt;3.5),"EARLY WARNING",ABS(G402)&gt;1,"WATCH",TRUE,"NORMAL")</f>
        <v/>
      </c>
    </row>
    <row r="403">
      <c r="A403" s="12" t="n">
        <v>45428</v>
      </c>
      <c r="B403" s="13">
        <f>Raw_Data!B403</f>
        <v/>
      </c>
      <c r="C403" s="13">
        <f>AVERAGE(B374:B403)</f>
        <v/>
      </c>
      <c r="D403" s="13">
        <f>STDEV.S(B374:B403)</f>
        <v/>
      </c>
      <c r="E403" s="13">
        <f>C403+3*D403</f>
        <v/>
      </c>
      <c r="F403" s="13">
        <f>C403-3*D403</f>
        <v/>
      </c>
      <c r="G403" s="15">
        <f>IF(D403=0,"",(B403-C403)/D403)</f>
        <v/>
      </c>
      <c r="H403" s="13">
        <f>MEDIAN(B374:B403)</f>
        <v/>
      </c>
      <c r="I403" s="13">
        <f>MEDIAN(ABS(B374:B403-H403))</f>
        <v/>
      </c>
      <c r="J403" s="15">
        <f>IF(I403=0,"",0.6745*(B403-H403)/I403)</f>
        <v/>
      </c>
      <c r="K403" s="13">
        <f>0.2*B403+0.8*K402</f>
        <v/>
      </c>
      <c r="L403" s="13">
        <f>C403+3*D403*SQRT(0.2/(2-0.2))</f>
        <v/>
      </c>
      <c r="M403" s="13">
        <f>C403-3*D403*SQRT(0.2/(2-0.2))</f>
        <v/>
      </c>
      <c r="N403" s="13">
        <f>MAX(0,N402+(B403-C403-0.5*D403))</f>
        <v/>
      </c>
      <c r="O403" s="13">
        <f>MIN(0,O402+(B403-C403+0.5*D403))</f>
        <v/>
      </c>
      <c r="P403">
        <f>IF(ABS(G403)&gt;1,P402+1,0)</f>
        <v/>
      </c>
      <c r="Q403">
        <f>IFS(OR(ABS(G403)&gt;3,N403&gt;5*D403,ABS(O403)&gt;5*D403,P403&gt;=5),"CRITICAL",OR(ABS(G403)&gt;2,P403&gt;=3,ABS(J403)&gt;3.5),"EARLY WARNING",ABS(G403)&gt;1,"WATCH",TRUE,"NORMAL")</f>
        <v/>
      </c>
    </row>
    <row r="404">
      <c r="A404" s="12" t="n">
        <v>45429</v>
      </c>
      <c r="B404" s="13">
        <f>Raw_Data!B404</f>
        <v/>
      </c>
      <c r="C404" s="13">
        <f>AVERAGE(B375:B404)</f>
        <v/>
      </c>
      <c r="D404" s="13">
        <f>STDEV.S(B375:B404)</f>
        <v/>
      </c>
      <c r="E404" s="13">
        <f>C404+3*D404</f>
        <v/>
      </c>
      <c r="F404" s="13">
        <f>C404-3*D404</f>
        <v/>
      </c>
      <c r="G404" s="15">
        <f>IF(D404=0,"",(B404-C404)/D404)</f>
        <v/>
      </c>
      <c r="H404" s="13">
        <f>MEDIAN(B375:B404)</f>
        <v/>
      </c>
      <c r="I404" s="13">
        <f>MEDIAN(ABS(B375:B404-H404))</f>
        <v/>
      </c>
      <c r="J404" s="15">
        <f>IF(I404=0,"",0.6745*(B404-H404)/I404)</f>
        <v/>
      </c>
      <c r="K404" s="13">
        <f>0.2*B404+0.8*K403</f>
        <v/>
      </c>
      <c r="L404" s="13">
        <f>C404+3*D404*SQRT(0.2/(2-0.2))</f>
        <v/>
      </c>
      <c r="M404" s="13">
        <f>C404-3*D404*SQRT(0.2/(2-0.2))</f>
        <v/>
      </c>
      <c r="N404" s="13">
        <f>MAX(0,N403+(B404-C404-0.5*D404))</f>
        <v/>
      </c>
      <c r="O404" s="13">
        <f>MIN(0,O403+(B404-C404+0.5*D404))</f>
        <v/>
      </c>
      <c r="P404">
        <f>IF(ABS(G404)&gt;1,P403+1,0)</f>
        <v/>
      </c>
      <c r="Q404">
        <f>IFS(OR(ABS(G404)&gt;3,N404&gt;5*D404,ABS(O404)&gt;5*D404,P404&gt;=5),"CRITICAL",OR(ABS(G404)&gt;2,P404&gt;=3,ABS(J404)&gt;3.5),"EARLY WARNING",ABS(G404)&gt;1,"WATCH",TRUE,"NORMAL")</f>
        <v/>
      </c>
    </row>
    <row r="405">
      <c r="A405" s="12" t="n">
        <v>45430</v>
      </c>
      <c r="B405" s="13">
        <f>Raw_Data!B405</f>
        <v/>
      </c>
      <c r="C405" s="13">
        <f>AVERAGE(B376:B405)</f>
        <v/>
      </c>
      <c r="D405" s="13">
        <f>STDEV.S(B376:B405)</f>
        <v/>
      </c>
      <c r="E405" s="13">
        <f>C405+3*D405</f>
        <v/>
      </c>
      <c r="F405" s="13">
        <f>C405-3*D405</f>
        <v/>
      </c>
      <c r="G405" s="15">
        <f>IF(D405=0,"",(B405-C405)/D405)</f>
        <v/>
      </c>
      <c r="H405" s="13">
        <f>MEDIAN(B376:B405)</f>
        <v/>
      </c>
      <c r="I405" s="13">
        <f>MEDIAN(ABS(B376:B405-H405))</f>
        <v/>
      </c>
      <c r="J405" s="15">
        <f>IF(I405=0,"",0.6745*(B405-H405)/I405)</f>
        <v/>
      </c>
      <c r="K405" s="13">
        <f>0.2*B405+0.8*K404</f>
        <v/>
      </c>
      <c r="L405" s="13">
        <f>C405+3*D405*SQRT(0.2/(2-0.2))</f>
        <v/>
      </c>
      <c r="M405" s="13">
        <f>C405-3*D405*SQRT(0.2/(2-0.2))</f>
        <v/>
      </c>
      <c r="N405" s="13">
        <f>MAX(0,N404+(B405-C405-0.5*D405))</f>
        <v/>
      </c>
      <c r="O405" s="13">
        <f>MIN(0,O404+(B405-C405+0.5*D405))</f>
        <v/>
      </c>
      <c r="P405">
        <f>IF(ABS(G405)&gt;1,P404+1,0)</f>
        <v/>
      </c>
      <c r="Q405">
        <f>IFS(OR(ABS(G405)&gt;3,N405&gt;5*D405,ABS(O405)&gt;5*D405,P405&gt;=5),"CRITICAL",OR(ABS(G405)&gt;2,P405&gt;=3,ABS(J405)&gt;3.5),"EARLY WARNING",ABS(G405)&gt;1,"WATCH",TRUE,"NORMAL")</f>
        <v/>
      </c>
    </row>
    <row r="406">
      <c r="A406" s="12" t="n">
        <v>45431</v>
      </c>
      <c r="B406" s="13">
        <f>Raw_Data!B406</f>
        <v/>
      </c>
      <c r="C406" s="13">
        <f>AVERAGE(B377:B406)</f>
        <v/>
      </c>
      <c r="D406" s="13">
        <f>STDEV.S(B377:B406)</f>
        <v/>
      </c>
      <c r="E406" s="13">
        <f>C406+3*D406</f>
        <v/>
      </c>
      <c r="F406" s="13">
        <f>C406-3*D406</f>
        <v/>
      </c>
      <c r="G406" s="15">
        <f>IF(D406=0,"",(B406-C406)/D406)</f>
        <v/>
      </c>
      <c r="H406" s="13">
        <f>MEDIAN(B377:B406)</f>
        <v/>
      </c>
      <c r="I406" s="13">
        <f>MEDIAN(ABS(B377:B406-H406))</f>
        <v/>
      </c>
      <c r="J406" s="15">
        <f>IF(I406=0,"",0.6745*(B406-H406)/I406)</f>
        <v/>
      </c>
      <c r="K406" s="13">
        <f>0.2*B406+0.8*K405</f>
        <v/>
      </c>
      <c r="L406" s="13">
        <f>C406+3*D406*SQRT(0.2/(2-0.2))</f>
        <v/>
      </c>
      <c r="M406" s="13">
        <f>C406-3*D406*SQRT(0.2/(2-0.2))</f>
        <v/>
      </c>
      <c r="N406" s="13">
        <f>MAX(0,N405+(B406-C406-0.5*D406))</f>
        <v/>
      </c>
      <c r="O406" s="13">
        <f>MIN(0,O405+(B406-C406+0.5*D406))</f>
        <v/>
      </c>
      <c r="P406">
        <f>IF(ABS(G406)&gt;1,P405+1,0)</f>
        <v/>
      </c>
      <c r="Q406">
        <f>IFS(OR(ABS(G406)&gt;3,N406&gt;5*D406,ABS(O406)&gt;5*D406,P406&gt;=5),"CRITICAL",OR(ABS(G406)&gt;2,P406&gt;=3,ABS(J406)&gt;3.5),"EARLY WARNING",ABS(G406)&gt;1,"WATCH",TRUE,"NORMAL")</f>
        <v/>
      </c>
    </row>
    <row r="407">
      <c r="A407" s="12" t="n">
        <v>45432</v>
      </c>
      <c r="B407" s="13">
        <f>Raw_Data!B407</f>
        <v/>
      </c>
      <c r="C407" s="13">
        <f>AVERAGE(B378:B407)</f>
        <v/>
      </c>
      <c r="D407" s="13">
        <f>STDEV.S(B378:B407)</f>
        <v/>
      </c>
      <c r="E407" s="13">
        <f>C407+3*D407</f>
        <v/>
      </c>
      <c r="F407" s="13">
        <f>C407-3*D407</f>
        <v/>
      </c>
      <c r="G407" s="15">
        <f>IF(D407=0,"",(B407-C407)/D407)</f>
        <v/>
      </c>
      <c r="H407" s="13">
        <f>MEDIAN(B378:B407)</f>
        <v/>
      </c>
      <c r="I407" s="13">
        <f>MEDIAN(ABS(B378:B407-H407))</f>
        <v/>
      </c>
      <c r="J407" s="15">
        <f>IF(I407=0,"",0.6745*(B407-H407)/I407)</f>
        <v/>
      </c>
      <c r="K407" s="13">
        <f>0.2*B407+0.8*K406</f>
        <v/>
      </c>
      <c r="L407" s="13">
        <f>C407+3*D407*SQRT(0.2/(2-0.2))</f>
        <v/>
      </c>
      <c r="M407" s="13">
        <f>C407-3*D407*SQRT(0.2/(2-0.2))</f>
        <v/>
      </c>
      <c r="N407" s="13">
        <f>MAX(0,N406+(B407-C407-0.5*D407))</f>
        <v/>
      </c>
      <c r="O407" s="13">
        <f>MIN(0,O406+(B407-C407+0.5*D407))</f>
        <v/>
      </c>
      <c r="P407">
        <f>IF(ABS(G407)&gt;1,P406+1,0)</f>
        <v/>
      </c>
      <c r="Q407">
        <f>IFS(OR(ABS(G407)&gt;3,N407&gt;5*D407,ABS(O407)&gt;5*D407,P407&gt;=5),"CRITICAL",OR(ABS(G407)&gt;2,P407&gt;=3,ABS(J407)&gt;3.5),"EARLY WARNING",ABS(G407)&gt;1,"WATCH",TRUE,"NORMAL")</f>
        <v/>
      </c>
    </row>
    <row r="408">
      <c r="A408" s="12" t="n">
        <v>45433</v>
      </c>
      <c r="B408" s="13">
        <f>Raw_Data!B408</f>
        <v/>
      </c>
      <c r="C408" s="13">
        <f>AVERAGE(B379:B408)</f>
        <v/>
      </c>
      <c r="D408" s="13">
        <f>STDEV.S(B379:B408)</f>
        <v/>
      </c>
      <c r="E408" s="13">
        <f>C408+3*D408</f>
        <v/>
      </c>
      <c r="F408" s="13">
        <f>C408-3*D408</f>
        <v/>
      </c>
      <c r="G408" s="15">
        <f>IF(D408=0,"",(B408-C408)/D408)</f>
        <v/>
      </c>
      <c r="H408" s="13">
        <f>MEDIAN(B379:B408)</f>
        <v/>
      </c>
      <c r="I408" s="13">
        <f>MEDIAN(ABS(B379:B408-H408))</f>
        <v/>
      </c>
      <c r="J408" s="15">
        <f>IF(I408=0,"",0.6745*(B408-H408)/I408)</f>
        <v/>
      </c>
      <c r="K408" s="13">
        <f>0.2*B408+0.8*K407</f>
        <v/>
      </c>
      <c r="L408" s="13">
        <f>C408+3*D408*SQRT(0.2/(2-0.2))</f>
        <v/>
      </c>
      <c r="M408" s="13">
        <f>C408-3*D408*SQRT(0.2/(2-0.2))</f>
        <v/>
      </c>
      <c r="N408" s="13">
        <f>MAX(0,N407+(B408-C408-0.5*D408))</f>
        <v/>
      </c>
      <c r="O408" s="13">
        <f>MIN(0,O407+(B408-C408+0.5*D408))</f>
        <v/>
      </c>
      <c r="P408">
        <f>IF(ABS(G408)&gt;1,P407+1,0)</f>
        <v/>
      </c>
      <c r="Q408">
        <f>IFS(OR(ABS(G408)&gt;3,N408&gt;5*D408,ABS(O408)&gt;5*D408,P408&gt;=5),"CRITICAL",OR(ABS(G408)&gt;2,P408&gt;=3,ABS(J408)&gt;3.5),"EARLY WARNING",ABS(G408)&gt;1,"WATCH",TRUE,"NORMAL")</f>
        <v/>
      </c>
    </row>
    <row r="409">
      <c r="A409" s="12" t="n">
        <v>45434</v>
      </c>
      <c r="B409" s="13">
        <f>Raw_Data!B409</f>
        <v/>
      </c>
      <c r="C409" s="13">
        <f>AVERAGE(B380:B409)</f>
        <v/>
      </c>
      <c r="D409" s="13">
        <f>STDEV.S(B380:B409)</f>
        <v/>
      </c>
      <c r="E409" s="13">
        <f>C409+3*D409</f>
        <v/>
      </c>
      <c r="F409" s="13">
        <f>C409-3*D409</f>
        <v/>
      </c>
      <c r="G409" s="15">
        <f>IF(D409=0,"",(B409-C409)/D409)</f>
        <v/>
      </c>
      <c r="H409" s="13">
        <f>MEDIAN(B380:B409)</f>
        <v/>
      </c>
      <c r="I409" s="13">
        <f>MEDIAN(ABS(B380:B409-H409))</f>
        <v/>
      </c>
      <c r="J409" s="15">
        <f>IF(I409=0,"",0.6745*(B409-H409)/I409)</f>
        <v/>
      </c>
      <c r="K409" s="13">
        <f>0.2*B409+0.8*K408</f>
        <v/>
      </c>
      <c r="L409" s="13">
        <f>C409+3*D409*SQRT(0.2/(2-0.2))</f>
        <v/>
      </c>
      <c r="M409" s="13">
        <f>C409-3*D409*SQRT(0.2/(2-0.2))</f>
        <v/>
      </c>
      <c r="N409" s="13">
        <f>MAX(0,N408+(B409-C409-0.5*D409))</f>
        <v/>
      </c>
      <c r="O409" s="13">
        <f>MIN(0,O408+(B409-C409+0.5*D409))</f>
        <v/>
      </c>
      <c r="P409">
        <f>IF(ABS(G409)&gt;1,P408+1,0)</f>
        <v/>
      </c>
      <c r="Q409">
        <f>IFS(OR(ABS(G409)&gt;3,N409&gt;5*D409,ABS(O409)&gt;5*D409,P409&gt;=5),"CRITICAL",OR(ABS(G409)&gt;2,P409&gt;=3,ABS(J409)&gt;3.5),"EARLY WARNING",ABS(G409)&gt;1,"WATCH",TRUE,"NORMAL")</f>
        <v/>
      </c>
    </row>
    <row r="410">
      <c r="A410" s="12" t="n">
        <v>45435</v>
      </c>
      <c r="B410" s="13">
        <f>Raw_Data!B410</f>
        <v/>
      </c>
      <c r="C410" s="13">
        <f>AVERAGE(B381:B410)</f>
        <v/>
      </c>
      <c r="D410" s="13">
        <f>STDEV.S(B381:B410)</f>
        <v/>
      </c>
      <c r="E410" s="13">
        <f>C410+3*D410</f>
        <v/>
      </c>
      <c r="F410" s="13">
        <f>C410-3*D410</f>
        <v/>
      </c>
      <c r="G410" s="15">
        <f>IF(D410=0,"",(B410-C410)/D410)</f>
        <v/>
      </c>
      <c r="H410" s="13">
        <f>MEDIAN(B381:B410)</f>
        <v/>
      </c>
      <c r="I410" s="13">
        <f>MEDIAN(ABS(B381:B410-H410))</f>
        <v/>
      </c>
      <c r="J410" s="15">
        <f>IF(I410=0,"",0.6745*(B410-H410)/I410)</f>
        <v/>
      </c>
      <c r="K410" s="13">
        <f>0.2*B410+0.8*K409</f>
        <v/>
      </c>
      <c r="L410" s="13">
        <f>C410+3*D410*SQRT(0.2/(2-0.2))</f>
        <v/>
      </c>
      <c r="M410" s="13">
        <f>C410-3*D410*SQRT(0.2/(2-0.2))</f>
        <v/>
      </c>
      <c r="N410" s="13">
        <f>MAX(0,N409+(B410-C410-0.5*D410))</f>
        <v/>
      </c>
      <c r="O410" s="13">
        <f>MIN(0,O409+(B410-C410+0.5*D410))</f>
        <v/>
      </c>
      <c r="P410">
        <f>IF(ABS(G410)&gt;1,P409+1,0)</f>
        <v/>
      </c>
      <c r="Q410">
        <f>IFS(OR(ABS(G410)&gt;3,N410&gt;5*D410,ABS(O410)&gt;5*D410,P410&gt;=5),"CRITICAL",OR(ABS(G410)&gt;2,P410&gt;=3,ABS(J410)&gt;3.5),"EARLY WARNING",ABS(G410)&gt;1,"WATCH",TRUE,"NORMAL")</f>
        <v/>
      </c>
    </row>
    <row r="411">
      <c r="A411" s="12" t="n">
        <v>45436</v>
      </c>
      <c r="B411" s="13">
        <f>Raw_Data!B411</f>
        <v/>
      </c>
      <c r="C411" s="13">
        <f>AVERAGE(B382:B411)</f>
        <v/>
      </c>
      <c r="D411" s="13">
        <f>STDEV.S(B382:B411)</f>
        <v/>
      </c>
      <c r="E411" s="13">
        <f>C411+3*D411</f>
        <v/>
      </c>
      <c r="F411" s="13">
        <f>C411-3*D411</f>
        <v/>
      </c>
      <c r="G411" s="15">
        <f>IF(D411=0,"",(B411-C411)/D411)</f>
        <v/>
      </c>
      <c r="H411" s="13">
        <f>MEDIAN(B382:B411)</f>
        <v/>
      </c>
      <c r="I411" s="13">
        <f>MEDIAN(ABS(B382:B411-H411))</f>
        <v/>
      </c>
      <c r="J411" s="15">
        <f>IF(I411=0,"",0.6745*(B411-H411)/I411)</f>
        <v/>
      </c>
      <c r="K411" s="13">
        <f>0.2*B411+0.8*K410</f>
        <v/>
      </c>
      <c r="L411" s="13">
        <f>C411+3*D411*SQRT(0.2/(2-0.2))</f>
        <v/>
      </c>
      <c r="M411" s="13">
        <f>C411-3*D411*SQRT(0.2/(2-0.2))</f>
        <v/>
      </c>
      <c r="N411" s="13">
        <f>MAX(0,N410+(B411-C411-0.5*D411))</f>
        <v/>
      </c>
      <c r="O411" s="13">
        <f>MIN(0,O410+(B411-C411+0.5*D411))</f>
        <v/>
      </c>
      <c r="P411">
        <f>IF(ABS(G411)&gt;1,P410+1,0)</f>
        <v/>
      </c>
      <c r="Q411">
        <f>IFS(OR(ABS(G411)&gt;3,N411&gt;5*D411,ABS(O411)&gt;5*D411,P411&gt;=5),"CRITICAL",OR(ABS(G411)&gt;2,P411&gt;=3,ABS(J411)&gt;3.5),"EARLY WARNING",ABS(G411)&gt;1,"WATCH",TRUE,"NORMAL")</f>
        <v/>
      </c>
    </row>
    <row r="412">
      <c r="A412" s="12" t="n">
        <v>45437</v>
      </c>
      <c r="B412" s="13">
        <f>Raw_Data!B412</f>
        <v/>
      </c>
      <c r="C412" s="13">
        <f>AVERAGE(B383:B412)</f>
        <v/>
      </c>
      <c r="D412" s="13">
        <f>STDEV.S(B383:B412)</f>
        <v/>
      </c>
      <c r="E412" s="13">
        <f>C412+3*D412</f>
        <v/>
      </c>
      <c r="F412" s="13">
        <f>C412-3*D412</f>
        <v/>
      </c>
      <c r="G412" s="15">
        <f>IF(D412=0,"",(B412-C412)/D412)</f>
        <v/>
      </c>
      <c r="H412" s="13">
        <f>MEDIAN(B383:B412)</f>
        <v/>
      </c>
      <c r="I412" s="13">
        <f>MEDIAN(ABS(B383:B412-H412))</f>
        <v/>
      </c>
      <c r="J412" s="15">
        <f>IF(I412=0,"",0.6745*(B412-H412)/I412)</f>
        <v/>
      </c>
      <c r="K412" s="13">
        <f>0.2*B412+0.8*K411</f>
        <v/>
      </c>
      <c r="L412" s="13">
        <f>C412+3*D412*SQRT(0.2/(2-0.2))</f>
        <v/>
      </c>
      <c r="M412" s="13">
        <f>C412-3*D412*SQRT(0.2/(2-0.2))</f>
        <v/>
      </c>
      <c r="N412" s="13">
        <f>MAX(0,N411+(B412-C412-0.5*D412))</f>
        <v/>
      </c>
      <c r="O412" s="13">
        <f>MIN(0,O411+(B412-C412+0.5*D412))</f>
        <v/>
      </c>
      <c r="P412">
        <f>IF(ABS(G412)&gt;1,P411+1,0)</f>
        <v/>
      </c>
      <c r="Q412">
        <f>IFS(OR(ABS(G412)&gt;3,N412&gt;5*D412,ABS(O412)&gt;5*D412,P412&gt;=5),"CRITICAL",OR(ABS(G412)&gt;2,P412&gt;=3,ABS(J412)&gt;3.5),"EARLY WARNING",ABS(G412)&gt;1,"WATCH",TRUE,"NORMAL")</f>
        <v/>
      </c>
    </row>
    <row r="413">
      <c r="A413" s="12" t="n">
        <v>45438</v>
      </c>
      <c r="B413" s="13">
        <f>Raw_Data!B413</f>
        <v/>
      </c>
      <c r="C413" s="13">
        <f>AVERAGE(B384:B413)</f>
        <v/>
      </c>
      <c r="D413" s="13">
        <f>STDEV.S(B384:B413)</f>
        <v/>
      </c>
      <c r="E413" s="13">
        <f>C413+3*D413</f>
        <v/>
      </c>
      <c r="F413" s="13">
        <f>C413-3*D413</f>
        <v/>
      </c>
      <c r="G413" s="15">
        <f>IF(D413=0,"",(B413-C413)/D413)</f>
        <v/>
      </c>
      <c r="H413" s="13">
        <f>MEDIAN(B384:B413)</f>
        <v/>
      </c>
      <c r="I413" s="13">
        <f>MEDIAN(ABS(B384:B413-H413))</f>
        <v/>
      </c>
      <c r="J413" s="15">
        <f>IF(I413=0,"",0.6745*(B413-H413)/I413)</f>
        <v/>
      </c>
      <c r="K413" s="13">
        <f>0.2*B413+0.8*K412</f>
        <v/>
      </c>
      <c r="L413" s="13">
        <f>C413+3*D413*SQRT(0.2/(2-0.2))</f>
        <v/>
      </c>
      <c r="M413" s="13">
        <f>C413-3*D413*SQRT(0.2/(2-0.2))</f>
        <v/>
      </c>
      <c r="N413" s="13">
        <f>MAX(0,N412+(B413-C413-0.5*D413))</f>
        <v/>
      </c>
      <c r="O413" s="13">
        <f>MIN(0,O412+(B413-C413+0.5*D413))</f>
        <v/>
      </c>
      <c r="P413">
        <f>IF(ABS(G413)&gt;1,P412+1,0)</f>
        <v/>
      </c>
      <c r="Q413">
        <f>IFS(OR(ABS(G413)&gt;3,N413&gt;5*D413,ABS(O413)&gt;5*D413,P413&gt;=5),"CRITICAL",OR(ABS(G413)&gt;2,P413&gt;=3,ABS(J413)&gt;3.5),"EARLY WARNING",ABS(G413)&gt;1,"WATCH",TRUE,"NORMAL")</f>
        <v/>
      </c>
    </row>
    <row r="414">
      <c r="A414" s="12" t="n">
        <v>45439</v>
      </c>
      <c r="B414" s="13">
        <f>Raw_Data!B414</f>
        <v/>
      </c>
      <c r="C414" s="13">
        <f>AVERAGE(B385:B414)</f>
        <v/>
      </c>
      <c r="D414" s="13">
        <f>STDEV.S(B385:B414)</f>
        <v/>
      </c>
      <c r="E414" s="13">
        <f>C414+3*D414</f>
        <v/>
      </c>
      <c r="F414" s="13">
        <f>C414-3*D414</f>
        <v/>
      </c>
      <c r="G414" s="15">
        <f>IF(D414=0,"",(B414-C414)/D414)</f>
        <v/>
      </c>
      <c r="H414" s="13">
        <f>MEDIAN(B385:B414)</f>
        <v/>
      </c>
      <c r="I414" s="13">
        <f>MEDIAN(ABS(B385:B414-H414))</f>
        <v/>
      </c>
      <c r="J414" s="15">
        <f>IF(I414=0,"",0.6745*(B414-H414)/I414)</f>
        <v/>
      </c>
      <c r="K414" s="13">
        <f>0.2*B414+0.8*K413</f>
        <v/>
      </c>
      <c r="L414" s="13">
        <f>C414+3*D414*SQRT(0.2/(2-0.2))</f>
        <v/>
      </c>
      <c r="M414" s="13">
        <f>C414-3*D414*SQRT(0.2/(2-0.2))</f>
        <v/>
      </c>
      <c r="N414" s="13">
        <f>MAX(0,N413+(B414-C414-0.5*D414))</f>
        <v/>
      </c>
      <c r="O414" s="13">
        <f>MIN(0,O413+(B414-C414+0.5*D414))</f>
        <v/>
      </c>
      <c r="P414">
        <f>IF(ABS(G414)&gt;1,P413+1,0)</f>
        <v/>
      </c>
      <c r="Q414">
        <f>IFS(OR(ABS(G414)&gt;3,N414&gt;5*D414,ABS(O414)&gt;5*D414,P414&gt;=5),"CRITICAL",OR(ABS(G414)&gt;2,P414&gt;=3,ABS(J414)&gt;3.5),"EARLY WARNING",ABS(G414)&gt;1,"WATCH",TRUE,"NORMAL")</f>
        <v/>
      </c>
    </row>
    <row r="415">
      <c r="A415" s="12" t="n">
        <v>45440</v>
      </c>
      <c r="B415" s="13">
        <f>Raw_Data!B415</f>
        <v/>
      </c>
      <c r="C415" s="13">
        <f>AVERAGE(B386:B415)</f>
        <v/>
      </c>
      <c r="D415" s="13">
        <f>STDEV.S(B386:B415)</f>
        <v/>
      </c>
      <c r="E415" s="13">
        <f>C415+3*D415</f>
        <v/>
      </c>
      <c r="F415" s="13">
        <f>C415-3*D415</f>
        <v/>
      </c>
      <c r="G415" s="15">
        <f>IF(D415=0,"",(B415-C415)/D415)</f>
        <v/>
      </c>
      <c r="H415" s="13">
        <f>MEDIAN(B386:B415)</f>
        <v/>
      </c>
      <c r="I415" s="13">
        <f>MEDIAN(ABS(B386:B415-H415))</f>
        <v/>
      </c>
      <c r="J415" s="15">
        <f>IF(I415=0,"",0.6745*(B415-H415)/I415)</f>
        <v/>
      </c>
      <c r="K415" s="13">
        <f>0.2*B415+0.8*K414</f>
        <v/>
      </c>
      <c r="L415" s="13">
        <f>C415+3*D415*SQRT(0.2/(2-0.2))</f>
        <v/>
      </c>
      <c r="M415" s="13">
        <f>C415-3*D415*SQRT(0.2/(2-0.2))</f>
        <v/>
      </c>
      <c r="N415" s="13">
        <f>MAX(0,N414+(B415-C415-0.5*D415))</f>
        <v/>
      </c>
      <c r="O415" s="13">
        <f>MIN(0,O414+(B415-C415+0.5*D415))</f>
        <v/>
      </c>
      <c r="P415">
        <f>IF(ABS(G415)&gt;1,P414+1,0)</f>
        <v/>
      </c>
      <c r="Q415">
        <f>IFS(OR(ABS(G415)&gt;3,N415&gt;5*D415,ABS(O415)&gt;5*D415,P415&gt;=5),"CRITICAL",OR(ABS(G415)&gt;2,P415&gt;=3,ABS(J415)&gt;3.5),"EARLY WARNING",ABS(G415)&gt;1,"WATCH",TRUE,"NORMAL")</f>
        <v/>
      </c>
    </row>
    <row r="416">
      <c r="A416" s="12" t="n">
        <v>45441</v>
      </c>
      <c r="B416" s="13">
        <f>Raw_Data!B416</f>
        <v/>
      </c>
      <c r="C416" s="13">
        <f>AVERAGE(B387:B416)</f>
        <v/>
      </c>
      <c r="D416" s="13">
        <f>STDEV.S(B387:B416)</f>
        <v/>
      </c>
      <c r="E416" s="13">
        <f>C416+3*D416</f>
        <v/>
      </c>
      <c r="F416" s="13">
        <f>C416-3*D416</f>
        <v/>
      </c>
      <c r="G416" s="15">
        <f>IF(D416=0,"",(B416-C416)/D416)</f>
        <v/>
      </c>
      <c r="H416" s="13">
        <f>MEDIAN(B387:B416)</f>
        <v/>
      </c>
      <c r="I416" s="13">
        <f>MEDIAN(ABS(B387:B416-H416))</f>
        <v/>
      </c>
      <c r="J416" s="15">
        <f>IF(I416=0,"",0.6745*(B416-H416)/I416)</f>
        <v/>
      </c>
      <c r="K416" s="13">
        <f>0.2*B416+0.8*K415</f>
        <v/>
      </c>
      <c r="L416" s="13">
        <f>C416+3*D416*SQRT(0.2/(2-0.2))</f>
        <v/>
      </c>
      <c r="M416" s="13">
        <f>C416-3*D416*SQRT(0.2/(2-0.2))</f>
        <v/>
      </c>
      <c r="N416" s="13">
        <f>MAX(0,N415+(B416-C416-0.5*D416))</f>
        <v/>
      </c>
      <c r="O416" s="13">
        <f>MIN(0,O415+(B416-C416+0.5*D416))</f>
        <v/>
      </c>
      <c r="P416">
        <f>IF(ABS(G416)&gt;1,P415+1,0)</f>
        <v/>
      </c>
      <c r="Q416">
        <f>IFS(OR(ABS(G416)&gt;3,N416&gt;5*D416,ABS(O416)&gt;5*D416,P416&gt;=5),"CRITICAL",OR(ABS(G416)&gt;2,P416&gt;=3,ABS(J416)&gt;3.5),"EARLY WARNING",ABS(G416)&gt;1,"WATCH",TRUE,"NORMAL")</f>
        <v/>
      </c>
    </row>
    <row r="417">
      <c r="A417" s="12" t="n">
        <v>45442</v>
      </c>
      <c r="B417" s="13">
        <f>Raw_Data!B417</f>
        <v/>
      </c>
      <c r="C417" s="13">
        <f>AVERAGE(B388:B417)</f>
        <v/>
      </c>
      <c r="D417" s="13">
        <f>STDEV.S(B388:B417)</f>
        <v/>
      </c>
      <c r="E417" s="13">
        <f>C417+3*D417</f>
        <v/>
      </c>
      <c r="F417" s="13">
        <f>C417-3*D417</f>
        <v/>
      </c>
      <c r="G417" s="15">
        <f>IF(D417=0,"",(B417-C417)/D417)</f>
        <v/>
      </c>
      <c r="H417" s="13">
        <f>MEDIAN(B388:B417)</f>
        <v/>
      </c>
      <c r="I417" s="13">
        <f>MEDIAN(ABS(B388:B417-H417))</f>
        <v/>
      </c>
      <c r="J417" s="15">
        <f>IF(I417=0,"",0.6745*(B417-H417)/I417)</f>
        <v/>
      </c>
      <c r="K417" s="13">
        <f>0.2*B417+0.8*K416</f>
        <v/>
      </c>
      <c r="L417" s="13">
        <f>C417+3*D417*SQRT(0.2/(2-0.2))</f>
        <v/>
      </c>
      <c r="M417" s="13">
        <f>C417-3*D417*SQRT(0.2/(2-0.2))</f>
        <v/>
      </c>
      <c r="N417" s="13">
        <f>MAX(0,N416+(B417-C417-0.5*D417))</f>
        <v/>
      </c>
      <c r="O417" s="13">
        <f>MIN(0,O416+(B417-C417+0.5*D417))</f>
        <v/>
      </c>
      <c r="P417">
        <f>IF(ABS(G417)&gt;1,P416+1,0)</f>
        <v/>
      </c>
      <c r="Q417">
        <f>IFS(OR(ABS(G417)&gt;3,N417&gt;5*D417,ABS(O417)&gt;5*D417,P417&gt;=5),"CRITICAL",OR(ABS(G417)&gt;2,P417&gt;=3,ABS(J417)&gt;3.5),"EARLY WARNING",ABS(G417)&gt;1,"WATCH",TRUE,"NORMAL")</f>
        <v/>
      </c>
    </row>
    <row r="418">
      <c r="A418" s="12" t="n">
        <v>45443</v>
      </c>
      <c r="B418" s="13">
        <f>Raw_Data!B418</f>
        <v/>
      </c>
      <c r="C418" s="13">
        <f>AVERAGE(B389:B418)</f>
        <v/>
      </c>
      <c r="D418" s="13">
        <f>STDEV.S(B389:B418)</f>
        <v/>
      </c>
      <c r="E418" s="13">
        <f>C418+3*D418</f>
        <v/>
      </c>
      <c r="F418" s="13">
        <f>C418-3*D418</f>
        <v/>
      </c>
      <c r="G418" s="15">
        <f>IF(D418=0,"",(B418-C418)/D418)</f>
        <v/>
      </c>
      <c r="H418" s="13">
        <f>MEDIAN(B389:B418)</f>
        <v/>
      </c>
      <c r="I418" s="13">
        <f>MEDIAN(ABS(B389:B418-H418))</f>
        <v/>
      </c>
      <c r="J418" s="15">
        <f>IF(I418=0,"",0.6745*(B418-H418)/I418)</f>
        <v/>
      </c>
      <c r="K418" s="13">
        <f>0.2*B418+0.8*K417</f>
        <v/>
      </c>
      <c r="L418" s="13">
        <f>C418+3*D418*SQRT(0.2/(2-0.2))</f>
        <v/>
      </c>
      <c r="M418" s="13">
        <f>C418-3*D418*SQRT(0.2/(2-0.2))</f>
        <v/>
      </c>
      <c r="N418" s="13">
        <f>MAX(0,N417+(B418-C418-0.5*D418))</f>
        <v/>
      </c>
      <c r="O418" s="13">
        <f>MIN(0,O417+(B418-C418+0.5*D418))</f>
        <v/>
      </c>
      <c r="P418">
        <f>IF(ABS(G418)&gt;1,P417+1,0)</f>
        <v/>
      </c>
      <c r="Q418">
        <f>IFS(OR(ABS(G418)&gt;3,N418&gt;5*D418,ABS(O418)&gt;5*D418,P418&gt;=5),"CRITICAL",OR(ABS(G418)&gt;2,P418&gt;=3,ABS(J418)&gt;3.5),"EARLY WARNING",ABS(G418)&gt;1,"WATCH",TRUE,"NORMAL")</f>
        <v/>
      </c>
    </row>
    <row r="419">
      <c r="A419" s="12" t="n">
        <v>45444</v>
      </c>
      <c r="B419" s="13">
        <f>Raw_Data!B419</f>
        <v/>
      </c>
      <c r="C419" s="13">
        <f>AVERAGE(B390:B419)</f>
        <v/>
      </c>
      <c r="D419" s="13">
        <f>STDEV.S(B390:B419)</f>
        <v/>
      </c>
      <c r="E419" s="13">
        <f>C419+3*D419</f>
        <v/>
      </c>
      <c r="F419" s="13">
        <f>C419-3*D419</f>
        <v/>
      </c>
      <c r="G419" s="15">
        <f>IF(D419=0,"",(B419-C419)/D419)</f>
        <v/>
      </c>
      <c r="H419" s="13">
        <f>MEDIAN(B390:B419)</f>
        <v/>
      </c>
      <c r="I419" s="13">
        <f>MEDIAN(ABS(B390:B419-H419))</f>
        <v/>
      </c>
      <c r="J419" s="15">
        <f>IF(I419=0,"",0.6745*(B419-H419)/I419)</f>
        <v/>
      </c>
      <c r="K419" s="13">
        <f>0.2*B419+0.8*K418</f>
        <v/>
      </c>
      <c r="L419" s="13">
        <f>C419+3*D419*SQRT(0.2/(2-0.2))</f>
        <v/>
      </c>
      <c r="M419" s="13">
        <f>C419-3*D419*SQRT(0.2/(2-0.2))</f>
        <v/>
      </c>
      <c r="N419" s="13">
        <f>MAX(0,N418+(B419-C419-0.5*D419))</f>
        <v/>
      </c>
      <c r="O419" s="13">
        <f>MIN(0,O418+(B419-C419+0.5*D419))</f>
        <v/>
      </c>
      <c r="P419">
        <f>IF(ABS(G419)&gt;1,P418+1,0)</f>
        <v/>
      </c>
      <c r="Q419">
        <f>IFS(OR(ABS(G419)&gt;3,N419&gt;5*D419,ABS(O419)&gt;5*D419,P419&gt;=5),"CRITICAL",OR(ABS(G419)&gt;2,P419&gt;=3,ABS(J419)&gt;3.5),"EARLY WARNING",ABS(G419)&gt;1,"WATCH",TRUE,"NORMAL")</f>
        <v/>
      </c>
    </row>
    <row r="420">
      <c r="A420" s="12" t="n">
        <v>45445</v>
      </c>
      <c r="B420" s="13">
        <f>Raw_Data!B420</f>
        <v/>
      </c>
      <c r="C420" s="13">
        <f>AVERAGE(B391:B420)</f>
        <v/>
      </c>
      <c r="D420" s="13">
        <f>STDEV.S(B391:B420)</f>
        <v/>
      </c>
      <c r="E420" s="13">
        <f>C420+3*D420</f>
        <v/>
      </c>
      <c r="F420" s="13">
        <f>C420-3*D420</f>
        <v/>
      </c>
      <c r="G420" s="15">
        <f>IF(D420=0,"",(B420-C420)/D420)</f>
        <v/>
      </c>
      <c r="H420" s="13">
        <f>MEDIAN(B391:B420)</f>
        <v/>
      </c>
      <c r="I420" s="13">
        <f>MEDIAN(ABS(B391:B420-H420))</f>
        <v/>
      </c>
      <c r="J420" s="15">
        <f>IF(I420=0,"",0.6745*(B420-H420)/I420)</f>
        <v/>
      </c>
      <c r="K420" s="13">
        <f>0.2*B420+0.8*K419</f>
        <v/>
      </c>
      <c r="L420" s="13">
        <f>C420+3*D420*SQRT(0.2/(2-0.2))</f>
        <v/>
      </c>
      <c r="M420" s="13">
        <f>C420-3*D420*SQRT(0.2/(2-0.2))</f>
        <v/>
      </c>
      <c r="N420" s="13">
        <f>MAX(0,N419+(B420-C420-0.5*D420))</f>
        <v/>
      </c>
      <c r="O420" s="13">
        <f>MIN(0,O419+(B420-C420+0.5*D420))</f>
        <v/>
      </c>
      <c r="P420">
        <f>IF(ABS(G420)&gt;1,P419+1,0)</f>
        <v/>
      </c>
      <c r="Q420">
        <f>IFS(OR(ABS(G420)&gt;3,N420&gt;5*D420,ABS(O420)&gt;5*D420,P420&gt;=5),"CRITICAL",OR(ABS(G420)&gt;2,P420&gt;=3,ABS(J420)&gt;3.5),"EARLY WARNING",ABS(G420)&gt;1,"WATCH",TRUE,"NORMAL")</f>
        <v/>
      </c>
    </row>
    <row r="421">
      <c r="A421" s="12" t="n">
        <v>45446</v>
      </c>
      <c r="B421" s="13">
        <f>Raw_Data!B421</f>
        <v/>
      </c>
      <c r="C421" s="13">
        <f>AVERAGE(B392:B421)</f>
        <v/>
      </c>
      <c r="D421" s="13">
        <f>STDEV.S(B392:B421)</f>
        <v/>
      </c>
      <c r="E421" s="13">
        <f>C421+3*D421</f>
        <v/>
      </c>
      <c r="F421" s="13">
        <f>C421-3*D421</f>
        <v/>
      </c>
      <c r="G421" s="15">
        <f>IF(D421=0,"",(B421-C421)/D421)</f>
        <v/>
      </c>
      <c r="H421" s="13">
        <f>MEDIAN(B392:B421)</f>
        <v/>
      </c>
      <c r="I421" s="13">
        <f>MEDIAN(ABS(B392:B421-H421))</f>
        <v/>
      </c>
      <c r="J421" s="15">
        <f>IF(I421=0,"",0.6745*(B421-H421)/I421)</f>
        <v/>
      </c>
      <c r="K421" s="13">
        <f>0.2*B421+0.8*K420</f>
        <v/>
      </c>
      <c r="L421" s="13">
        <f>C421+3*D421*SQRT(0.2/(2-0.2))</f>
        <v/>
      </c>
      <c r="M421" s="13">
        <f>C421-3*D421*SQRT(0.2/(2-0.2))</f>
        <v/>
      </c>
      <c r="N421" s="13">
        <f>MAX(0,N420+(B421-C421-0.5*D421))</f>
        <v/>
      </c>
      <c r="O421" s="13">
        <f>MIN(0,O420+(B421-C421+0.5*D421))</f>
        <v/>
      </c>
      <c r="P421">
        <f>IF(ABS(G421)&gt;1,P420+1,0)</f>
        <v/>
      </c>
      <c r="Q421">
        <f>IFS(OR(ABS(G421)&gt;3,N421&gt;5*D421,ABS(O421)&gt;5*D421,P421&gt;=5),"CRITICAL",OR(ABS(G421)&gt;2,P421&gt;=3,ABS(J421)&gt;3.5),"EARLY WARNING",ABS(G421)&gt;1,"WATCH",TRUE,"NORMAL")</f>
        <v/>
      </c>
    </row>
    <row r="422">
      <c r="A422" s="12" t="n">
        <v>45447</v>
      </c>
      <c r="B422" s="13">
        <f>Raw_Data!B422</f>
        <v/>
      </c>
      <c r="C422" s="13">
        <f>AVERAGE(B393:B422)</f>
        <v/>
      </c>
      <c r="D422" s="13">
        <f>STDEV.S(B393:B422)</f>
        <v/>
      </c>
      <c r="E422" s="13">
        <f>C422+3*D422</f>
        <v/>
      </c>
      <c r="F422" s="13">
        <f>C422-3*D422</f>
        <v/>
      </c>
      <c r="G422" s="15">
        <f>IF(D422=0,"",(B422-C422)/D422)</f>
        <v/>
      </c>
      <c r="H422" s="13">
        <f>MEDIAN(B393:B422)</f>
        <v/>
      </c>
      <c r="I422" s="13">
        <f>MEDIAN(ABS(B393:B422-H422))</f>
        <v/>
      </c>
      <c r="J422" s="15">
        <f>IF(I422=0,"",0.6745*(B422-H422)/I422)</f>
        <v/>
      </c>
      <c r="K422" s="13">
        <f>0.2*B422+0.8*K421</f>
        <v/>
      </c>
      <c r="L422" s="13">
        <f>C422+3*D422*SQRT(0.2/(2-0.2))</f>
        <v/>
      </c>
      <c r="M422" s="13">
        <f>C422-3*D422*SQRT(0.2/(2-0.2))</f>
        <v/>
      </c>
      <c r="N422" s="13">
        <f>MAX(0,N421+(B422-C422-0.5*D422))</f>
        <v/>
      </c>
      <c r="O422" s="13">
        <f>MIN(0,O421+(B422-C422+0.5*D422))</f>
        <v/>
      </c>
      <c r="P422">
        <f>IF(ABS(G422)&gt;1,P421+1,0)</f>
        <v/>
      </c>
      <c r="Q422">
        <f>IFS(OR(ABS(G422)&gt;3,N422&gt;5*D422,ABS(O422)&gt;5*D422,P422&gt;=5),"CRITICAL",OR(ABS(G422)&gt;2,P422&gt;=3,ABS(J422)&gt;3.5),"EARLY WARNING",ABS(G422)&gt;1,"WATCH",TRUE,"NORMAL")</f>
        <v/>
      </c>
    </row>
    <row r="423">
      <c r="A423" s="12" t="n">
        <v>45448</v>
      </c>
      <c r="B423" s="13">
        <f>Raw_Data!B423</f>
        <v/>
      </c>
      <c r="C423" s="13">
        <f>AVERAGE(B394:B423)</f>
        <v/>
      </c>
      <c r="D423" s="13">
        <f>STDEV.S(B394:B423)</f>
        <v/>
      </c>
      <c r="E423" s="13">
        <f>C423+3*D423</f>
        <v/>
      </c>
      <c r="F423" s="13">
        <f>C423-3*D423</f>
        <v/>
      </c>
      <c r="G423" s="15">
        <f>IF(D423=0,"",(B423-C423)/D423)</f>
        <v/>
      </c>
      <c r="H423" s="13">
        <f>MEDIAN(B394:B423)</f>
        <v/>
      </c>
      <c r="I423" s="13">
        <f>MEDIAN(ABS(B394:B423-H423))</f>
        <v/>
      </c>
      <c r="J423" s="15">
        <f>IF(I423=0,"",0.6745*(B423-H423)/I423)</f>
        <v/>
      </c>
      <c r="K423" s="13">
        <f>0.2*B423+0.8*K422</f>
        <v/>
      </c>
      <c r="L423" s="13">
        <f>C423+3*D423*SQRT(0.2/(2-0.2))</f>
        <v/>
      </c>
      <c r="M423" s="13">
        <f>C423-3*D423*SQRT(0.2/(2-0.2))</f>
        <v/>
      </c>
      <c r="N423" s="13">
        <f>MAX(0,N422+(B423-C423-0.5*D423))</f>
        <v/>
      </c>
      <c r="O423" s="13">
        <f>MIN(0,O422+(B423-C423+0.5*D423))</f>
        <v/>
      </c>
      <c r="P423">
        <f>IF(ABS(G423)&gt;1,P422+1,0)</f>
        <v/>
      </c>
      <c r="Q423">
        <f>IFS(OR(ABS(G423)&gt;3,N423&gt;5*D423,ABS(O423)&gt;5*D423,P423&gt;=5),"CRITICAL",OR(ABS(G423)&gt;2,P423&gt;=3,ABS(J423)&gt;3.5),"EARLY WARNING",ABS(G423)&gt;1,"WATCH",TRUE,"NORMAL")</f>
        <v/>
      </c>
    </row>
    <row r="424">
      <c r="A424" s="12" t="n">
        <v>45449</v>
      </c>
      <c r="B424" s="13">
        <f>Raw_Data!B424</f>
        <v/>
      </c>
      <c r="C424" s="13">
        <f>AVERAGE(B395:B424)</f>
        <v/>
      </c>
      <c r="D424" s="13">
        <f>STDEV.S(B395:B424)</f>
        <v/>
      </c>
      <c r="E424" s="13">
        <f>C424+3*D424</f>
        <v/>
      </c>
      <c r="F424" s="13">
        <f>C424-3*D424</f>
        <v/>
      </c>
      <c r="G424" s="15">
        <f>IF(D424=0,"",(B424-C424)/D424)</f>
        <v/>
      </c>
      <c r="H424" s="13">
        <f>MEDIAN(B395:B424)</f>
        <v/>
      </c>
      <c r="I424" s="13">
        <f>MEDIAN(ABS(B395:B424-H424))</f>
        <v/>
      </c>
      <c r="J424" s="15">
        <f>IF(I424=0,"",0.6745*(B424-H424)/I424)</f>
        <v/>
      </c>
      <c r="K424" s="13">
        <f>0.2*B424+0.8*K423</f>
        <v/>
      </c>
      <c r="L424" s="13">
        <f>C424+3*D424*SQRT(0.2/(2-0.2))</f>
        <v/>
      </c>
      <c r="M424" s="13">
        <f>C424-3*D424*SQRT(0.2/(2-0.2))</f>
        <v/>
      </c>
      <c r="N424" s="13">
        <f>MAX(0,N423+(B424-C424-0.5*D424))</f>
        <v/>
      </c>
      <c r="O424" s="13">
        <f>MIN(0,O423+(B424-C424+0.5*D424))</f>
        <v/>
      </c>
      <c r="P424">
        <f>IF(ABS(G424)&gt;1,P423+1,0)</f>
        <v/>
      </c>
      <c r="Q424">
        <f>IFS(OR(ABS(G424)&gt;3,N424&gt;5*D424,ABS(O424)&gt;5*D424,P424&gt;=5),"CRITICAL",OR(ABS(G424)&gt;2,P424&gt;=3,ABS(J424)&gt;3.5),"EARLY WARNING",ABS(G424)&gt;1,"WATCH",TRUE,"NORMAL")</f>
        <v/>
      </c>
    </row>
    <row r="425">
      <c r="A425" s="12" t="n">
        <v>45450</v>
      </c>
      <c r="B425" s="13">
        <f>Raw_Data!B425</f>
        <v/>
      </c>
      <c r="C425" s="13">
        <f>AVERAGE(B396:B425)</f>
        <v/>
      </c>
      <c r="D425" s="13">
        <f>STDEV.S(B396:B425)</f>
        <v/>
      </c>
      <c r="E425" s="13">
        <f>C425+3*D425</f>
        <v/>
      </c>
      <c r="F425" s="13">
        <f>C425-3*D425</f>
        <v/>
      </c>
      <c r="G425" s="15">
        <f>IF(D425=0,"",(B425-C425)/D425)</f>
        <v/>
      </c>
      <c r="H425" s="13">
        <f>MEDIAN(B396:B425)</f>
        <v/>
      </c>
      <c r="I425" s="13">
        <f>MEDIAN(ABS(B396:B425-H425))</f>
        <v/>
      </c>
      <c r="J425" s="15">
        <f>IF(I425=0,"",0.6745*(B425-H425)/I425)</f>
        <v/>
      </c>
      <c r="K425" s="13">
        <f>0.2*B425+0.8*K424</f>
        <v/>
      </c>
      <c r="L425" s="13">
        <f>C425+3*D425*SQRT(0.2/(2-0.2))</f>
        <v/>
      </c>
      <c r="M425" s="13">
        <f>C425-3*D425*SQRT(0.2/(2-0.2))</f>
        <v/>
      </c>
      <c r="N425" s="13">
        <f>MAX(0,N424+(B425-C425-0.5*D425))</f>
        <v/>
      </c>
      <c r="O425" s="13">
        <f>MIN(0,O424+(B425-C425+0.5*D425))</f>
        <v/>
      </c>
      <c r="P425">
        <f>IF(ABS(G425)&gt;1,P424+1,0)</f>
        <v/>
      </c>
      <c r="Q425">
        <f>IFS(OR(ABS(G425)&gt;3,N425&gt;5*D425,ABS(O425)&gt;5*D425,P425&gt;=5),"CRITICAL",OR(ABS(G425)&gt;2,P425&gt;=3,ABS(J425)&gt;3.5),"EARLY WARNING",ABS(G425)&gt;1,"WATCH",TRUE,"NORMAL")</f>
        <v/>
      </c>
    </row>
    <row r="426">
      <c r="A426" s="12" t="n">
        <v>45451</v>
      </c>
      <c r="B426" s="13">
        <f>Raw_Data!B426</f>
        <v/>
      </c>
      <c r="C426" s="13">
        <f>AVERAGE(B397:B426)</f>
        <v/>
      </c>
      <c r="D426" s="13">
        <f>STDEV.S(B397:B426)</f>
        <v/>
      </c>
      <c r="E426" s="13">
        <f>C426+3*D426</f>
        <v/>
      </c>
      <c r="F426" s="13">
        <f>C426-3*D426</f>
        <v/>
      </c>
      <c r="G426" s="15">
        <f>IF(D426=0,"",(B426-C426)/D426)</f>
        <v/>
      </c>
      <c r="H426" s="13">
        <f>MEDIAN(B397:B426)</f>
        <v/>
      </c>
      <c r="I426" s="13">
        <f>MEDIAN(ABS(B397:B426-H426))</f>
        <v/>
      </c>
      <c r="J426" s="15">
        <f>IF(I426=0,"",0.6745*(B426-H426)/I426)</f>
        <v/>
      </c>
      <c r="K426" s="13">
        <f>0.2*B426+0.8*K425</f>
        <v/>
      </c>
      <c r="L426" s="13">
        <f>C426+3*D426*SQRT(0.2/(2-0.2))</f>
        <v/>
      </c>
      <c r="M426" s="13">
        <f>C426-3*D426*SQRT(0.2/(2-0.2))</f>
        <v/>
      </c>
      <c r="N426" s="13">
        <f>MAX(0,N425+(B426-C426-0.5*D426))</f>
        <v/>
      </c>
      <c r="O426" s="13">
        <f>MIN(0,O425+(B426-C426+0.5*D426))</f>
        <v/>
      </c>
      <c r="P426">
        <f>IF(ABS(G426)&gt;1,P425+1,0)</f>
        <v/>
      </c>
      <c r="Q426">
        <f>IFS(OR(ABS(G426)&gt;3,N426&gt;5*D426,ABS(O426)&gt;5*D426,P426&gt;=5),"CRITICAL",OR(ABS(G426)&gt;2,P426&gt;=3,ABS(J426)&gt;3.5),"EARLY WARNING",ABS(G426)&gt;1,"WATCH",TRUE,"NORMAL")</f>
        <v/>
      </c>
    </row>
    <row r="427">
      <c r="A427" s="12" t="n">
        <v>45452</v>
      </c>
      <c r="B427" s="13">
        <f>Raw_Data!B427</f>
        <v/>
      </c>
      <c r="C427" s="13">
        <f>AVERAGE(B398:B427)</f>
        <v/>
      </c>
      <c r="D427" s="13">
        <f>STDEV.S(B398:B427)</f>
        <v/>
      </c>
      <c r="E427" s="13">
        <f>C427+3*D427</f>
        <v/>
      </c>
      <c r="F427" s="13">
        <f>C427-3*D427</f>
        <v/>
      </c>
      <c r="G427" s="15">
        <f>IF(D427=0,"",(B427-C427)/D427)</f>
        <v/>
      </c>
      <c r="H427" s="13">
        <f>MEDIAN(B398:B427)</f>
        <v/>
      </c>
      <c r="I427" s="13">
        <f>MEDIAN(ABS(B398:B427-H427))</f>
        <v/>
      </c>
      <c r="J427" s="15">
        <f>IF(I427=0,"",0.6745*(B427-H427)/I427)</f>
        <v/>
      </c>
      <c r="K427" s="13">
        <f>0.2*B427+0.8*K426</f>
        <v/>
      </c>
      <c r="L427" s="13">
        <f>C427+3*D427*SQRT(0.2/(2-0.2))</f>
        <v/>
      </c>
      <c r="M427" s="13">
        <f>C427-3*D427*SQRT(0.2/(2-0.2))</f>
        <v/>
      </c>
      <c r="N427" s="13">
        <f>MAX(0,N426+(B427-C427-0.5*D427))</f>
        <v/>
      </c>
      <c r="O427" s="13">
        <f>MIN(0,O426+(B427-C427+0.5*D427))</f>
        <v/>
      </c>
      <c r="P427">
        <f>IF(ABS(G427)&gt;1,P426+1,0)</f>
        <v/>
      </c>
      <c r="Q427">
        <f>IFS(OR(ABS(G427)&gt;3,N427&gt;5*D427,ABS(O427)&gt;5*D427,P427&gt;=5),"CRITICAL",OR(ABS(G427)&gt;2,P427&gt;=3,ABS(J427)&gt;3.5),"EARLY WARNING",ABS(G427)&gt;1,"WATCH",TRUE,"NORMAL")</f>
        <v/>
      </c>
    </row>
    <row r="428">
      <c r="A428" s="12" t="n">
        <v>45453</v>
      </c>
      <c r="B428" s="13">
        <f>Raw_Data!B428</f>
        <v/>
      </c>
      <c r="C428" s="13">
        <f>AVERAGE(B399:B428)</f>
        <v/>
      </c>
      <c r="D428" s="13">
        <f>STDEV.S(B399:B428)</f>
        <v/>
      </c>
      <c r="E428" s="13">
        <f>C428+3*D428</f>
        <v/>
      </c>
      <c r="F428" s="13">
        <f>C428-3*D428</f>
        <v/>
      </c>
      <c r="G428" s="15">
        <f>IF(D428=0,"",(B428-C428)/D428)</f>
        <v/>
      </c>
      <c r="H428" s="13">
        <f>MEDIAN(B399:B428)</f>
        <v/>
      </c>
      <c r="I428" s="13">
        <f>MEDIAN(ABS(B399:B428-H428))</f>
        <v/>
      </c>
      <c r="J428" s="15">
        <f>IF(I428=0,"",0.6745*(B428-H428)/I428)</f>
        <v/>
      </c>
      <c r="K428" s="13">
        <f>0.2*B428+0.8*K427</f>
        <v/>
      </c>
      <c r="L428" s="13">
        <f>C428+3*D428*SQRT(0.2/(2-0.2))</f>
        <v/>
      </c>
      <c r="M428" s="13">
        <f>C428-3*D428*SQRT(0.2/(2-0.2))</f>
        <v/>
      </c>
      <c r="N428" s="13">
        <f>MAX(0,N427+(B428-C428-0.5*D428))</f>
        <v/>
      </c>
      <c r="O428" s="13">
        <f>MIN(0,O427+(B428-C428+0.5*D428))</f>
        <v/>
      </c>
      <c r="P428">
        <f>IF(ABS(G428)&gt;1,P427+1,0)</f>
        <v/>
      </c>
      <c r="Q428">
        <f>IFS(OR(ABS(G428)&gt;3,N428&gt;5*D428,ABS(O428)&gt;5*D428,P428&gt;=5),"CRITICAL",OR(ABS(G428)&gt;2,P428&gt;=3,ABS(J428)&gt;3.5),"EARLY WARNING",ABS(G428)&gt;1,"WATCH",TRUE,"NORMAL")</f>
        <v/>
      </c>
    </row>
    <row r="429">
      <c r="A429" s="12" t="n">
        <v>45454</v>
      </c>
      <c r="B429" s="13">
        <f>Raw_Data!B429</f>
        <v/>
      </c>
      <c r="C429" s="13">
        <f>AVERAGE(B400:B429)</f>
        <v/>
      </c>
      <c r="D429" s="13">
        <f>STDEV.S(B400:B429)</f>
        <v/>
      </c>
      <c r="E429" s="13">
        <f>C429+3*D429</f>
        <v/>
      </c>
      <c r="F429" s="13">
        <f>C429-3*D429</f>
        <v/>
      </c>
      <c r="G429" s="15">
        <f>IF(D429=0,"",(B429-C429)/D429)</f>
        <v/>
      </c>
      <c r="H429" s="13">
        <f>MEDIAN(B400:B429)</f>
        <v/>
      </c>
      <c r="I429" s="13">
        <f>MEDIAN(ABS(B400:B429-H429))</f>
        <v/>
      </c>
      <c r="J429" s="15">
        <f>IF(I429=0,"",0.6745*(B429-H429)/I429)</f>
        <v/>
      </c>
      <c r="K429" s="13">
        <f>0.2*B429+0.8*K428</f>
        <v/>
      </c>
      <c r="L429" s="13">
        <f>C429+3*D429*SQRT(0.2/(2-0.2))</f>
        <v/>
      </c>
      <c r="M429" s="13">
        <f>C429-3*D429*SQRT(0.2/(2-0.2))</f>
        <v/>
      </c>
      <c r="N429" s="13">
        <f>MAX(0,N428+(B429-C429-0.5*D429))</f>
        <v/>
      </c>
      <c r="O429" s="13">
        <f>MIN(0,O428+(B429-C429+0.5*D429))</f>
        <v/>
      </c>
      <c r="P429">
        <f>IF(ABS(G429)&gt;1,P428+1,0)</f>
        <v/>
      </c>
      <c r="Q429">
        <f>IFS(OR(ABS(G429)&gt;3,N429&gt;5*D429,ABS(O429)&gt;5*D429,P429&gt;=5),"CRITICAL",OR(ABS(G429)&gt;2,P429&gt;=3,ABS(J429)&gt;3.5),"EARLY WARNING",ABS(G429)&gt;1,"WATCH",TRUE,"NORMAL")</f>
        <v/>
      </c>
    </row>
    <row r="430">
      <c r="A430" s="12" t="n">
        <v>45455</v>
      </c>
      <c r="B430" s="13">
        <f>Raw_Data!B430</f>
        <v/>
      </c>
      <c r="C430" s="13">
        <f>AVERAGE(B401:B430)</f>
        <v/>
      </c>
      <c r="D430" s="13">
        <f>STDEV.S(B401:B430)</f>
        <v/>
      </c>
      <c r="E430" s="13">
        <f>C430+3*D430</f>
        <v/>
      </c>
      <c r="F430" s="13">
        <f>C430-3*D430</f>
        <v/>
      </c>
      <c r="G430" s="15">
        <f>IF(D430=0,"",(B430-C430)/D430)</f>
        <v/>
      </c>
      <c r="H430" s="13">
        <f>MEDIAN(B401:B430)</f>
        <v/>
      </c>
      <c r="I430" s="13">
        <f>MEDIAN(ABS(B401:B430-H430))</f>
        <v/>
      </c>
      <c r="J430" s="15">
        <f>IF(I430=0,"",0.6745*(B430-H430)/I430)</f>
        <v/>
      </c>
      <c r="K430" s="13">
        <f>0.2*B430+0.8*K429</f>
        <v/>
      </c>
      <c r="L430" s="13">
        <f>C430+3*D430*SQRT(0.2/(2-0.2))</f>
        <v/>
      </c>
      <c r="M430" s="13">
        <f>C430-3*D430*SQRT(0.2/(2-0.2))</f>
        <v/>
      </c>
      <c r="N430" s="13">
        <f>MAX(0,N429+(B430-C430-0.5*D430))</f>
        <v/>
      </c>
      <c r="O430" s="13">
        <f>MIN(0,O429+(B430-C430+0.5*D430))</f>
        <v/>
      </c>
      <c r="P430">
        <f>IF(ABS(G430)&gt;1,P429+1,0)</f>
        <v/>
      </c>
      <c r="Q430">
        <f>IFS(OR(ABS(G430)&gt;3,N430&gt;5*D430,ABS(O430)&gt;5*D430,P430&gt;=5),"CRITICAL",OR(ABS(G430)&gt;2,P430&gt;=3,ABS(J430)&gt;3.5),"EARLY WARNING",ABS(G430)&gt;1,"WATCH",TRUE,"NORMAL")</f>
        <v/>
      </c>
    </row>
    <row r="431">
      <c r="A431" s="12" t="n">
        <v>45456</v>
      </c>
      <c r="B431" s="13">
        <f>Raw_Data!B431</f>
        <v/>
      </c>
      <c r="C431" s="13">
        <f>AVERAGE(B402:B431)</f>
        <v/>
      </c>
      <c r="D431" s="13">
        <f>STDEV.S(B402:B431)</f>
        <v/>
      </c>
      <c r="E431" s="13">
        <f>C431+3*D431</f>
        <v/>
      </c>
      <c r="F431" s="13">
        <f>C431-3*D431</f>
        <v/>
      </c>
      <c r="G431" s="15">
        <f>IF(D431=0,"",(B431-C431)/D431)</f>
        <v/>
      </c>
      <c r="H431" s="13">
        <f>MEDIAN(B402:B431)</f>
        <v/>
      </c>
      <c r="I431" s="13">
        <f>MEDIAN(ABS(B402:B431-H431))</f>
        <v/>
      </c>
      <c r="J431" s="15">
        <f>IF(I431=0,"",0.6745*(B431-H431)/I431)</f>
        <v/>
      </c>
      <c r="K431" s="13">
        <f>0.2*B431+0.8*K430</f>
        <v/>
      </c>
      <c r="L431" s="13">
        <f>C431+3*D431*SQRT(0.2/(2-0.2))</f>
        <v/>
      </c>
      <c r="M431" s="13">
        <f>C431-3*D431*SQRT(0.2/(2-0.2))</f>
        <v/>
      </c>
      <c r="N431" s="13">
        <f>MAX(0,N430+(B431-C431-0.5*D431))</f>
        <v/>
      </c>
      <c r="O431" s="13">
        <f>MIN(0,O430+(B431-C431+0.5*D431))</f>
        <v/>
      </c>
      <c r="P431">
        <f>IF(ABS(G431)&gt;1,P430+1,0)</f>
        <v/>
      </c>
      <c r="Q431">
        <f>IFS(OR(ABS(G431)&gt;3,N431&gt;5*D431,ABS(O431)&gt;5*D431,P431&gt;=5),"CRITICAL",OR(ABS(G431)&gt;2,P431&gt;=3,ABS(J431)&gt;3.5),"EARLY WARNING",ABS(G431)&gt;1,"WATCH",TRUE,"NORMAL")</f>
        <v/>
      </c>
    </row>
    <row r="432">
      <c r="A432" s="12" t="n">
        <v>45457</v>
      </c>
      <c r="B432" s="13">
        <f>Raw_Data!B432</f>
        <v/>
      </c>
      <c r="C432" s="13">
        <f>AVERAGE(B403:B432)</f>
        <v/>
      </c>
      <c r="D432" s="13">
        <f>STDEV.S(B403:B432)</f>
        <v/>
      </c>
      <c r="E432" s="13">
        <f>C432+3*D432</f>
        <v/>
      </c>
      <c r="F432" s="13">
        <f>C432-3*D432</f>
        <v/>
      </c>
      <c r="G432" s="15">
        <f>IF(D432=0,"",(B432-C432)/D432)</f>
        <v/>
      </c>
      <c r="H432" s="13">
        <f>MEDIAN(B403:B432)</f>
        <v/>
      </c>
      <c r="I432" s="13">
        <f>MEDIAN(ABS(B403:B432-H432))</f>
        <v/>
      </c>
      <c r="J432" s="15">
        <f>IF(I432=0,"",0.6745*(B432-H432)/I432)</f>
        <v/>
      </c>
      <c r="K432" s="13">
        <f>0.2*B432+0.8*K431</f>
        <v/>
      </c>
      <c r="L432" s="13">
        <f>C432+3*D432*SQRT(0.2/(2-0.2))</f>
        <v/>
      </c>
      <c r="M432" s="13">
        <f>C432-3*D432*SQRT(0.2/(2-0.2))</f>
        <v/>
      </c>
      <c r="N432" s="13">
        <f>MAX(0,N431+(B432-C432-0.5*D432))</f>
        <v/>
      </c>
      <c r="O432" s="13">
        <f>MIN(0,O431+(B432-C432+0.5*D432))</f>
        <v/>
      </c>
      <c r="P432">
        <f>IF(ABS(G432)&gt;1,P431+1,0)</f>
        <v/>
      </c>
      <c r="Q432">
        <f>IFS(OR(ABS(G432)&gt;3,N432&gt;5*D432,ABS(O432)&gt;5*D432,P432&gt;=5),"CRITICAL",OR(ABS(G432)&gt;2,P432&gt;=3,ABS(J432)&gt;3.5),"EARLY WARNING",ABS(G432)&gt;1,"WATCH",TRUE,"NORMAL")</f>
        <v/>
      </c>
    </row>
    <row r="433">
      <c r="A433" s="12" t="n">
        <v>45458</v>
      </c>
      <c r="B433" s="13">
        <f>Raw_Data!B433</f>
        <v/>
      </c>
      <c r="C433" s="13">
        <f>AVERAGE(B404:B433)</f>
        <v/>
      </c>
      <c r="D433" s="13">
        <f>STDEV.S(B404:B433)</f>
        <v/>
      </c>
      <c r="E433" s="13">
        <f>C433+3*D433</f>
        <v/>
      </c>
      <c r="F433" s="13">
        <f>C433-3*D433</f>
        <v/>
      </c>
      <c r="G433" s="15">
        <f>IF(D433=0,"",(B433-C433)/D433)</f>
        <v/>
      </c>
      <c r="H433" s="13">
        <f>MEDIAN(B404:B433)</f>
        <v/>
      </c>
      <c r="I433" s="13">
        <f>MEDIAN(ABS(B404:B433-H433))</f>
        <v/>
      </c>
      <c r="J433" s="15">
        <f>IF(I433=0,"",0.6745*(B433-H433)/I433)</f>
        <v/>
      </c>
      <c r="K433" s="13">
        <f>0.2*B433+0.8*K432</f>
        <v/>
      </c>
      <c r="L433" s="13">
        <f>C433+3*D433*SQRT(0.2/(2-0.2))</f>
        <v/>
      </c>
      <c r="M433" s="13">
        <f>C433-3*D433*SQRT(0.2/(2-0.2))</f>
        <v/>
      </c>
      <c r="N433" s="13">
        <f>MAX(0,N432+(B433-C433-0.5*D433))</f>
        <v/>
      </c>
      <c r="O433" s="13">
        <f>MIN(0,O432+(B433-C433+0.5*D433))</f>
        <v/>
      </c>
      <c r="P433">
        <f>IF(ABS(G433)&gt;1,P432+1,0)</f>
        <v/>
      </c>
      <c r="Q433">
        <f>IFS(OR(ABS(G433)&gt;3,N433&gt;5*D433,ABS(O433)&gt;5*D433,P433&gt;=5),"CRITICAL",OR(ABS(G433)&gt;2,P433&gt;=3,ABS(J433)&gt;3.5),"EARLY WARNING",ABS(G433)&gt;1,"WATCH",TRUE,"NORMAL")</f>
        <v/>
      </c>
    </row>
    <row r="434">
      <c r="A434" s="12" t="n">
        <v>45459</v>
      </c>
      <c r="B434" s="13">
        <f>Raw_Data!B434</f>
        <v/>
      </c>
      <c r="C434" s="13">
        <f>AVERAGE(B405:B434)</f>
        <v/>
      </c>
      <c r="D434" s="13">
        <f>STDEV.S(B405:B434)</f>
        <v/>
      </c>
      <c r="E434" s="13">
        <f>C434+3*D434</f>
        <v/>
      </c>
      <c r="F434" s="13">
        <f>C434-3*D434</f>
        <v/>
      </c>
      <c r="G434" s="15">
        <f>IF(D434=0,"",(B434-C434)/D434)</f>
        <v/>
      </c>
      <c r="H434" s="13">
        <f>MEDIAN(B405:B434)</f>
        <v/>
      </c>
      <c r="I434" s="13">
        <f>MEDIAN(ABS(B405:B434-H434))</f>
        <v/>
      </c>
      <c r="J434" s="15">
        <f>IF(I434=0,"",0.6745*(B434-H434)/I434)</f>
        <v/>
      </c>
      <c r="K434" s="13">
        <f>0.2*B434+0.8*K433</f>
        <v/>
      </c>
      <c r="L434" s="13">
        <f>C434+3*D434*SQRT(0.2/(2-0.2))</f>
        <v/>
      </c>
      <c r="M434" s="13">
        <f>C434-3*D434*SQRT(0.2/(2-0.2))</f>
        <v/>
      </c>
      <c r="N434" s="13">
        <f>MAX(0,N433+(B434-C434-0.5*D434))</f>
        <v/>
      </c>
      <c r="O434" s="13">
        <f>MIN(0,O433+(B434-C434+0.5*D434))</f>
        <v/>
      </c>
      <c r="P434">
        <f>IF(ABS(G434)&gt;1,P433+1,0)</f>
        <v/>
      </c>
      <c r="Q434">
        <f>IFS(OR(ABS(G434)&gt;3,N434&gt;5*D434,ABS(O434)&gt;5*D434,P434&gt;=5),"CRITICAL",OR(ABS(G434)&gt;2,P434&gt;=3,ABS(J434)&gt;3.5),"EARLY WARNING",ABS(G434)&gt;1,"WATCH",TRUE,"NORMAL")</f>
        <v/>
      </c>
    </row>
    <row r="435">
      <c r="A435" s="12" t="n">
        <v>45460</v>
      </c>
      <c r="B435" s="13">
        <f>Raw_Data!B435</f>
        <v/>
      </c>
      <c r="C435" s="13">
        <f>AVERAGE(B406:B435)</f>
        <v/>
      </c>
      <c r="D435" s="13">
        <f>STDEV.S(B406:B435)</f>
        <v/>
      </c>
      <c r="E435" s="13">
        <f>C435+3*D435</f>
        <v/>
      </c>
      <c r="F435" s="13">
        <f>C435-3*D435</f>
        <v/>
      </c>
      <c r="G435" s="15">
        <f>IF(D435=0,"",(B435-C435)/D435)</f>
        <v/>
      </c>
      <c r="H435" s="13">
        <f>MEDIAN(B406:B435)</f>
        <v/>
      </c>
      <c r="I435" s="13">
        <f>MEDIAN(ABS(B406:B435-H435))</f>
        <v/>
      </c>
      <c r="J435" s="15">
        <f>IF(I435=0,"",0.6745*(B435-H435)/I435)</f>
        <v/>
      </c>
      <c r="K435" s="13">
        <f>0.2*B435+0.8*K434</f>
        <v/>
      </c>
      <c r="L435" s="13">
        <f>C435+3*D435*SQRT(0.2/(2-0.2))</f>
        <v/>
      </c>
      <c r="M435" s="13">
        <f>C435-3*D435*SQRT(0.2/(2-0.2))</f>
        <v/>
      </c>
      <c r="N435" s="13">
        <f>MAX(0,N434+(B435-C435-0.5*D435))</f>
        <v/>
      </c>
      <c r="O435" s="13">
        <f>MIN(0,O434+(B435-C435+0.5*D435))</f>
        <v/>
      </c>
      <c r="P435">
        <f>IF(ABS(G435)&gt;1,P434+1,0)</f>
        <v/>
      </c>
      <c r="Q435">
        <f>IFS(OR(ABS(G435)&gt;3,N435&gt;5*D435,ABS(O435)&gt;5*D435,P435&gt;=5),"CRITICAL",OR(ABS(G435)&gt;2,P435&gt;=3,ABS(J435)&gt;3.5),"EARLY WARNING",ABS(G435)&gt;1,"WATCH",TRUE,"NORMAL")</f>
        <v/>
      </c>
    </row>
    <row r="436">
      <c r="A436" s="12" t="n">
        <v>45461</v>
      </c>
      <c r="B436" s="13">
        <f>Raw_Data!B436</f>
        <v/>
      </c>
      <c r="C436" s="13">
        <f>AVERAGE(B407:B436)</f>
        <v/>
      </c>
      <c r="D436" s="13">
        <f>STDEV.S(B407:B436)</f>
        <v/>
      </c>
      <c r="E436" s="13">
        <f>C436+3*D436</f>
        <v/>
      </c>
      <c r="F436" s="13">
        <f>C436-3*D436</f>
        <v/>
      </c>
      <c r="G436" s="15">
        <f>IF(D436=0,"",(B436-C436)/D436)</f>
        <v/>
      </c>
      <c r="H436" s="13">
        <f>MEDIAN(B407:B436)</f>
        <v/>
      </c>
      <c r="I436" s="13">
        <f>MEDIAN(ABS(B407:B436-H436))</f>
        <v/>
      </c>
      <c r="J436" s="15">
        <f>IF(I436=0,"",0.6745*(B436-H436)/I436)</f>
        <v/>
      </c>
      <c r="K436" s="13">
        <f>0.2*B436+0.8*K435</f>
        <v/>
      </c>
      <c r="L436" s="13">
        <f>C436+3*D436*SQRT(0.2/(2-0.2))</f>
        <v/>
      </c>
      <c r="M436" s="13">
        <f>C436-3*D436*SQRT(0.2/(2-0.2))</f>
        <v/>
      </c>
      <c r="N436" s="13">
        <f>MAX(0,N435+(B436-C436-0.5*D436))</f>
        <v/>
      </c>
      <c r="O436" s="13">
        <f>MIN(0,O435+(B436-C436+0.5*D436))</f>
        <v/>
      </c>
      <c r="P436">
        <f>IF(ABS(G436)&gt;1,P435+1,0)</f>
        <v/>
      </c>
      <c r="Q436">
        <f>IFS(OR(ABS(G436)&gt;3,N436&gt;5*D436,ABS(O436)&gt;5*D436,P436&gt;=5),"CRITICAL",OR(ABS(G436)&gt;2,P436&gt;=3,ABS(J436)&gt;3.5),"EARLY WARNING",ABS(G436)&gt;1,"WATCH",TRUE,"NORMAL")</f>
        <v/>
      </c>
    </row>
    <row r="437">
      <c r="A437" s="12" t="n">
        <v>45462</v>
      </c>
      <c r="B437" s="13">
        <f>Raw_Data!B437</f>
        <v/>
      </c>
      <c r="C437" s="13">
        <f>AVERAGE(B408:B437)</f>
        <v/>
      </c>
      <c r="D437" s="13">
        <f>STDEV.S(B408:B437)</f>
        <v/>
      </c>
      <c r="E437" s="13">
        <f>C437+3*D437</f>
        <v/>
      </c>
      <c r="F437" s="13">
        <f>C437-3*D437</f>
        <v/>
      </c>
      <c r="G437" s="15">
        <f>IF(D437=0,"",(B437-C437)/D437)</f>
        <v/>
      </c>
      <c r="H437" s="13">
        <f>MEDIAN(B408:B437)</f>
        <v/>
      </c>
      <c r="I437" s="13">
        <f>MEDIAN(ABS(B408:B437-H437))</f>
        <v/>
      </c>
      <c r="J437" s="15">
        <f>IF(I437=0,"",0.6745*(B437-H437)/I437)</f>
        <v/>
      </c>
      <c r="K437" s="13">
        <f>0.2*B437+0.8*K436</f>
        <v/>
      </c>
      <c r="L437" s="13">
        <f>C437+3*D437*SQRT(0.2/(2-0.2))</f>
        <v/>
      </c>
      <c r="M437" s="13">
        <f>C437-3*D437*SQRT(0.2/(2-0.2))</f>
        <v/>
      </c>
      <c r="N437" s="13">
        <f>MAX(0,N436+(B437-C437-0.5*D437))</f>
        <v/>
      </c>
      <c r="O437" s="13">
        <f>MIN(0,O436+(B437-C437+0.5*D437))</f>
        <v/>
      </c>
      <c r="P437">
        <f>IF(ABS(G437)&gt;1,P436+1,0)</f>
        <v/>
      </c>
      <c r="Q437">
        <f>IFS(OR(ABS(G437)&gt;3,N437&gt;5*D437,ABS(O437)&gt;5*D437,P437&gt;=5),"CRITICAL",OR(ABS(G437)&gt;2,P437&gt;=3,ABS(J437)&gt;3.5),"EARLY WARNING",ABS(G437)&gt;1,"WATCH",TRUE,"NORMAL")</f>
        <v/>
      </c>
    </row>
    <row r="438">
      <c r="A438" s="12" t="n">
        <v>45463</v>
      </c>
      <c r="B438" s="13">
        <f>Raw_Data!B438</f>
        <v/>
      </c>
      <c r="C438" s="13">
        <f>AVERAGE(B409:B438)</f>
        <v/>
      </c>
      <c r="D438" s="13">
        <f>STDEV.S(B409:B438)</f>
        <v/>
      </c>
      <c r="E438" s="13">
        <f>C438+3*D438</f>
        <v/>
      </c>
      <c r="F438" s="13">
        <f>C438-3*D438</f>
        <v/>
      </c>
      <c r="G438" s="15">
        <f>IF(D438=0,"",(B438-C438)/D438)</f>
        <v/>
      </c>
      <c r="H438" s="13">
        <f>MEDIAN(B409:B438)</f>
        <v/>
      </c>
      <c r="I438" s="13">
        <f>MEDIAN(ABS(B409:B438-H438))</f>
        <v/>
      </c>
      <c r="J438" s="15">
        <f>IF(I438=0,"",0.6745*(B438-H438)/I438)</f>
        <v/>
      </c>
      <c r="K438" s="13">
        <f>0.2*B438+0.8*K437</f>
        <v/>
      </c>
      <c r="L438" s="13">
        <f>C438+3*D438*SQRT(0.2/(2-0.2))</f>
        <v/>
      </c>
      <c r="M438" s="13">
        <f>C438-3*D438*SQRT(0.2/(2-0.2))</f>
        <v/>
      </c>
      <c r="N438" s="13">
        <f>MAX(0,N437+(B438-C438-0.5*D438))</f>
        <v/>
      </c>
      <c r="O438" s="13">
        <f>MIN(0,O437+(B438-C438+0.5*D438))</f>
        <v/>
      </c>
      <c r="P438">
        <f>IF(ABS(G438)&gt;1,P437+1,0)</f>
        <v/>
      </c>
      <c r="Q438">
        <f>IFS(OR(ABS(G438)&gt;3,N438&gt;5*D438,ABS(O438)&gt;5*D438,P438&gt;=5),"CRITICAL",OR(ABS(G438)&gt;2,P438&gt;=3,ABS(J438)&gt;3.5),"EARLY WARNING",ABS(G438)&gt;1,"WATCH",TRUE,"NORMAL")</f>
        <v/>
      </c>
    </row>
    <row r="439">
      <c r="A439" s="12" t="n">
        <v>45464</v>
      </c>
      <c r="B439" s="13">
        <f>Raw_Data!B439</f>
        <v/>
      </c>
      <c r="C439" s="13">
        <f>AVERAGE(B410:B439)</f>
        <v/>
      </c>
      <c r="D439" s="13">
        <f>STDEV.S(B410:B439)</f>
        <v/>
      </c>
      <c r="E439" s="13">
        <f>C439+3*D439</f>
        <v/>
      </c>
      <c r="F439" s="13">
        <f>C439-3*D439</f>
        <v/>
      </c>
      <c r="G439" s="15">
        <f>IF(D439=0,"",(B439-C439)/D439)</f>
        <v/>
      </c>
      <c r="H439" s="13">
        <f>MEDIAN(B410:B439)</f>
        <v/>
      </c>
      <c r="I439" s="13">
        <f>MEDIAN(ABS(B410:B439-H439))</f>
        <v/>
      </c>
      <c r="J439" s="15">
        <f>IF(I439=0,"",0.6745*(B439-H439)/I439)</f>
        <v/>
      </c>
      <c r="K439" s="13">
        <f>0.2*B439+0.8*K438</f>
        <v/>
      </c>
      <c r="L439" s="13">
        <f>C439+3*D439*SQRT(0.2/(2-0.2))</f>
        <v/>
      </c>
      <c r="M439" s="13">
        <f>C439-3*D439*SQRT(0.2/(2-0.2))</f>
        <v/>
      </c>
      <c r="N439" s="13">
        <f>MAX(0,N438+(B439-C439-0.5*D439))</f>
        <v/>
      </c>
      <c r="O439" s="13">
        <f>MIN(0,O438+(B439-C439+0.5*D439))</f>
        <v/>
      </c>
      <c r="P439">
        <f>IF(ABS(G439)&gt;1,P438+1,0)</f>
        <v/>
      </c>
      <c r="Q439">
        <f>IFS(OR(ABS(G439)&gt;3,N439&gt;5*D439,ABS(O439)&gt;5*D439,P439&gt;=5),"CRITICAL",OR(ABS(G439)&gt;2,P439&gt;=3,ABS(J439)&gt;3.5),"EARLY WARNING",ABS(G439)&gt;1,"WATCH",TRUE,"NORMAL")</f>
        <v/>
      </c>
    </row>
    <row r="440">
      <c r="A440" s="12" t="n">
        <v>45465</v>
      </c>
      <c r="B440" s="13">
        <f>Raw_Data!B440</f>
        <v/>
      </c>
      <c r="C440" s="13">
        <f>AVERAGE(B411:B440)</f>
        <v/>
      </c>
      <c r="D440" s="13">
        <f>STDEV.S(B411:B440)</f>
        <v/>
      </c>
      <c r="E440" s="13">
        <f>C440+3*D440</f>
        <v/>
      </c>
      <c r="F440" s="13">
        <f>C440-3*D440</f>
        <v/>
      </c>
      <c r="G440" s="15">
        <f>IF(D440=0,"",(B440-C440)/D440)</f>
        <v/>
      </c>
      <c r="H440" s="13">
        <f>MEDIAN(B411:B440)</f>
        <v/>
      </c>
      <c r="I440" s="13">
        <f>MEDIAN(ABS(B411:B440-H440))</f>
        <v/>
      </c>
      <c r="J440" s="15">
        <f>IF(I440=0,"",0.6745*(B440-H440)/I440)</f>
        <v/>
      </c>
      <c r="K440" s="13">
        <f>0.2*B440+0.8*K439</f>
        <v/>
      </c>
      <c r="L440" s="13">
        <f>C440+3*D440*SQRT(0.2/(2-0.2))</f>
        <v/>
      </c>
      <c r="M440" s="13">
        <f>C440-3*D440*SQRT(0.2/(2-0.2))</f>
        <v/>
      </c>
      <c r="N440" s="13">
        <f>MAX(0,N439+(B440-C440-0.5*D440))</f>
        <v/>
      </c>
      <c r="O440" s="13">
        <f>MIN(0,O439+(B440-C440+0.5*D440))</f>
        <v/>
      </c>
      <c r="P440">
        <f>IF(ABS(G440)&gt;1,P439+1,0)</f>
        <v/>
      </c>
      <c r="Q440">
        <f>IFS(OR(ABS(G440)&gt;3,N440&gt;5*D440,ABS(O440)&gt;5*D440,P440&gt;=5),"CRITICAL",OR(ABS(G440)&gt;2,P440&gt;=3,ABS(J440)&gt;3.5),"EARLY WARNING",ABS(G440)&gt;1,"WATCH",TRUE,"NORMAL")</f>
        <v/>
      </c>
    </row>
    <row r="441">
      <c r="A441" s="12" t="n">
        <v>45466</v>
      </c>
      <c r="B441" s="13">
        <f>Raw_Data!B441</f>
        <v/>
      </c>
      <c r="C441" s="13">
        <f>AVERAGE(B412:B441)</f>
        <v/>
      </c>
      <c r="D441" s="13">
        <f>STDEV.S(B412:B441)</f>
        <v/>
      </c>
      <c r="E441" s="13">
        <f>C441+3*D441</f>
        <v/>
      </c>
      <c r="F441" s="13">
        <f>C441-3*D441</f>
        <v/>
      </c>
      <c r="G441" s="15">
        <f>IF(D441=0,"",(B441-C441)/D441)</f>
        <v/>
      </c>
      <c r="H441" s="13">
        <f>MEDIAN(B412:B441)</f>
        <v/>
      </c>
      <c r="I441" s="13">
        <f>MEDIAN(ABS(B412:B441-H441))</f>
        <v/>
      </c>
      <c r="J441" s="15">
        <f>IF(I441=0,"",0.6745*(B441-H441)/I441)</f>
        <v/>
      </c>
      <c r="K441" s="13">
        <f>0.2*B441+0.8*K440</f>
        <v/>
      </c>
      <c r="L441" s="13">
        <f>C441+3*D441*SQRT(0.2/(2-0.2))</f>
        <v/>
      </c>
      <c r="M441" s="13">
        <f>C441-3*D441*SQRT(0.2/(2-0.2))</f>
        <v/>
      </c>
      <c r="N441" s="13">
        <f>MAX(0,N440+(B441-C441-0.5*D441))</f>
        <v/>
      </c>
      <c r="O441" s="13">
        <f>MIN(0,O440+(B441-C441+0.5*D441))</f>
        <v/>
      </c>
      <c r="P441">
        <f>IF(ABS(G441)&gt;1,P440+1,0)</f>
        <v/>
      </c>
      <c r="Q441">
        <f>IFS(OR(ABS(G441)&gt;3,N441&gt;5*D441,ABS(O441)&gt;5*D441,P441&gt;=5),"CRITICAL",OR(ABS(G441)&gt;2,P441&gt;=3,ABS(J441)&gt;3.5),"EARLY WARNING",ABS(G441)&gt;1,"WATCH",TRUE,"NORMAL")</f>
        <v/>
      </c>
    </row>
    <row r="442">
      <c r="A442" s="12" t="n">
        <v>45467</v>
      </c>
      <c r="B442" s="13">
        <f>Raw_Data!B442</f>
        <v/>
      </c>
      <c r="C442" s="13">
        <f>AVERAGE(B413:B442)</f>
        <v/>
      </c>
      <c r="D442" s="13">
        <f>STDEV.S(B413:B442)</f>
        <v/>
      </c>
      <c r="E442" s="13">
        <f>C442+3*D442</f>
        <v/>
      </c>
      <c r="F442" s="13">
        <f>C442-3*D442</f>
        <v/>
      </c>
      <c r="G442" s="15">
        <f>IF(D442=0,"",(B442-C442)/D442)</f>
        <v/>
      </c>
      <c r="H442" s="13">
        <f>MEDIAN(B413:B442)</f>
        <v/>
      </c>
      <c r="I442" s="13">
        <f>MEDIAN(ABS(B413:B442-H442))</f>
        <v/>
      </c>
      <c r="J442" s="15">
        <f>IF(I442=0,"",0.6745*(B442-H442)/I442)</f>
        <v/>
      </c>
      <c r="K442" s="13">
        <f>0.2*B442+0.8*K441</f>
        <v/>
      </c>
      <c r="L442" s="13">
        <f>C442+3*D442*SQRT(0.2/(2-0.2))</f>
        <v/>
      </c>
      <c r="M442" s="13">
        <f>C442-3*D442*SQRT(0.2/(2-0.2))</f>
        <v/>
      </c>
      <c r="N442" s="13">
        <f>MAX(0,N441+(B442-C442-0.5*D442))</f>
        <v/>
      </c>
      <c r="O442" s="13">
        <f>MIN(0,O441+(B442-C442+0.5*D442))</f>
        <v/>
      </c>
      <c r="P442">
        <f>IF(ABS(G442)&gt;1,P441+1,0)</f>
        <v/>
      </c>
      <c r="Q442">
        <f>IFS(OR(ABS(G442)&gt;3,N442&gt;5*D442,ABS(O442)&gt;5*D442,P442&gt;=5),"CRITICAL",OR(ABS(G442)&gt;2,P442&gt;=3,ABS(J442)&gt;3.5),"EARLY WARNING",ABS(G442)&gt;1,"WATCH",TRUE,"NORMAL")</f>
        <v/>
      </c>
    </row>
    <row r="443">
      <c r="A443" s="12" t="n">
        <v>45468</v>
      </c>
      <c r="B443" s="13">
        <f>Raw_Data!B443</f>
        <v/>
      </c>
      <c r="C443" s="13">
        <f>AVERAGE(B414:B443)</f>
        <v/>
      </c>
      <c r="D443" s="13">
        <f>STDEV.S(B414:B443)</f>
        <v/>
      </c>
      <c r="E443" s="13">
        <f>C443+3*D443</f>
        <v/>
      </c>
      <c r="F443" s="13">
        <f>C443-3*D443</f>
        <v/>
      </c>
      <c r="G443" s="15">
        <f>IF(D443=0,"",(B443-C443)/D443)</f>
        <v/>
      </c>
      <c r="H443" s="13">
        <f>MEDIAN(B414:B443)</f>
        <v/>
      </c>
      <c r="I443" s="13">
        <f>MEDIAN(ABS(B414:B443-H443))</f>
        <v/>
      </c>
      <c r="J443" s="15">
        <f>IF(I443=0,"",0.6745*(B443-H443)/I443)</f>
        <v/>
      </c>
      <c r="K443" s="13">
        <f>0.2*B443+0.8*K442</f>
        <v/>
      </c>
      <c r="L443" s="13">
        <f>C443+3*D443*SQRT(0.2/(2-0.2))</f>
        <v/>
      </c>
      <c r="M443" s="13">
        <f>C443-3*D443*SQRT(0.2/(2-0.2))</f>
        <v/>
      </c>
      <c r="N443" s="13">
        <f>MAX(0,N442+(B443-C443-0.5*D443))</f>
        <v/>
      </c>
      <c r="O443" s="13">
        <f>MIN(0,O442+(B443-C443+0.5*D443))</f>
        <v/>
      </c>
      <c r="P443">
        <f>IF(ABS(G443)&gt;1,P442+1,0)</f>
        <v/>
      </c>
      <c r="Q443">
        <f>IFS(OR(ABS(G443)&gt;3,N443&gt;5*D443,ABS(O443)&gt;5*D443,P443&gt;=5),"CRITICAL",OR(ABS(G443)&gt;2,P443&gt;=3,ABS(J443)&gt;3.5),"EARLY WARNING",ABS(G443)&gt;1,"WATCH",TRUE,"NORMAL")</f>
        <v/>
      </c>
    </row>
    <row r="444">
      <c r="A444" s="12" t="n">
        <v>45469</v>
      </c>
      <c r="B444" s="13">
        <f>Raw_Data!B444</f>
        <v/>
      </c>
      <c r="C444" s="13">
        <f>AVERAGE(B415:B444)</f>
        <v/>
      </c>
      <c r="D444" s="13">
        <f>STDEV.S(B415:B444)</f>
        <v/>
      </c>
      <c r="E444" s="13">
        <f>C444+3*D444</f>
        <v/>
      </c>
      <c r="F444" s="13">
        <f>C444-3*D444</f>
        <v/>
      </c>
      <c r="G444" s="15">
        <f>IF(D444=0,"",(B444-C444)/D444)</f>
        <v/>
      </c>
      <c r="H444" s="13">
        <f>MEDIAN(B415:B444)</f>
        <v/>
      </c>
      <c r="I444" s="13">
        <f>MEDIAN(ABS(B415:B444-H444))</f>
        <v/>
      </c>
      <c r="J444" s="15">
        <f>IF(I444=0,"",0.6745*(B444-H444)/I444)</f>
        <v/>
      </c>
      <c r="K444" s="13">
        <f>0.2*B444+0.8*K443</f>
        <v/>
      </c>
      <c r="L444" s="13">
        <f>C444+3*D444*SQRT(0.2/(2-0.2))</f>
        <v/>
      </c>
      <c r="M444" s="13">
        <f>C444-3*D444*SQRT(0.2/(2-0.2))</f>
        <v/>
      </c>
      <c r="N444" s="13">
        <f>MAX(0,N443+(B444-C444-0.5*D444))</f>
        <v/>
      </c>
      <c r="O444" s="13">
        <f>MIN(0,O443+(B444-C444+0.5*D444))</f>
        <v/>
      </c>
      <c r="P444">
        <f>IF(ABS(G444)&gt;1,P443+1,0)</f>
        <v/>
      </c>
      <c r="Q444">
        <f>IFS(OR(ABS(G444)&gt;3,N444&gt;5*D444,ABS(O444)&gt;5*D444,P444&gt;=5),"CRITICAL",OR(ABS(G444)&gt;2,P444&gt;=3,ABS(J444)&gt;3.5),"EARLY WARNING",ABS(G444)&gt;1,"WATCH",TRUE,"NORMAL")</f>
        <v/>
      </c>
    </row>
    <row r="445">
      <c r="A445" s="12" t="n">
        <v>45470</v>
      </c>
      <c r="B445" s="13">
        <f>Raw_Data!B445</f>
        <v/>
      </c>
      <c r="C445" s="13">
        <f>AVERAGE(B416:B445)</f>
        <v/>
      </c>
      <c r="D445" s="13">
        <f>STDEV.S(B416:B445)</f>
        <v/>
      </c>
      <c r="E445" s="13">
        <f>C445+3*D445</f>
        <v/>
      </c>
      <c r="F445" s="13">
        <f>C445-3*D445</f>
        <v/>
      </c>
      <c r="G445" s="15">
        <f>IF(D445=0,"",(B445-C445)/D445)</f>
        <v/>
      </c>
      <c r="H445" s="13">
        <f>MEDIAN(B416:B445)</f>
        <v/>
      </c>
      <c r="I445" s="13">
        <f>MEDIAN(ABS(B416:B445-H445))</f>
        <v/>
      </c>
      <c r="J445" s="15">
        <f>IF(I445=0,"",0.6745*(B445-H445)/I445)</f>
        <v/>
      </c>
      <c r="K445" s="13">
        <f>0.2*B445+0.8*K444</f>
        <v/>
      </c>
      <c r="L445" s="13">
        <f>C445+3*D445*SQRT(0.2/(2-0.2))</f>
        <v/>
      </c>
      <c r="M445" s="13">
        <f>C445-3*D445*SQRT(0.2/(2-0.2))</f>
        <v/>
      </c>
      <c r="N445" s="13">
        <f>MAX(0,N444+(B445-C445-0.5*D445))</f>
        <v/>
      </c>
      <c r="O445" s="13">
        <f>MIN(0,O444+(B445-C445+0.5*D445))</f>
        <v/>
      </c>
      <c r="P445">
        <f>IF(ABS(G445)&gt;1,P444+1,0)</f>
        <v/>
      </c>
      <c r="Q445">
        <f>IFS(OR(ABS(G445)&gt;3,N445&gt;5*D445,ABS(O445)&gt;5*D445,P445&gt;=5),"CRITICAL",OR(ABS(G445)&gt;2,P445&gt;=3,ABS(J445)&gt;3.5),"EARLY WARNING",ABS(G445)&gt;1,"WATCH",TRUE,"NORMAL")</f>
        <v/>
      </c>
    </row>
    <row r="446">
      <c r="A446" s="12" t="n">
        <v>45471</v>
      </c>
      <c r="B446" s="13">
        <f>Raw_Data!B446</f>
        <v/>
      </c>
      <c r="C446" s="13">
        <f>AVERAGE(B417:B446)</f>
        <v/>
      </c>
      <c r="D446" s="13">
        <f>STDEV.S(B417:B446)</f>
        <v/>
      </c>
      <c r="E446" s="13">
        <f>C446+3*D446</f>
        <v/>
      </c>
      <c r="F446" s="13">
        <f>C446-3*D446</f>
        <v/>
      </c>
      <c r="G446" s="15">
        <f>IF(D446=0,"",(B446-C446)/D446)</f>
        <v/>
      </c>
      <c r="H446" s="13">
        <f>MEDIAN(B417:B446)</f>
        <v/>
      </c>
      <c r="I446" s="13">
        <f>MEDIAN(ABS(B417:B446-H446))</f>
        <v/>
      </c>
      <c r="J446" s="15">
        <f>IF(I446=0,"",0.6745*(B446-H446)/I446)</f>
        <v/>
      </c>
      <c r="K446" s="13">
        <f>0.2*B446+0.8*K445</f>
        <v/>
      </c>
      <c r="L446" s="13">
        <f>C446+3*D446*SQRT(0.2/(2-0.2))</f>
        <v/>
      </c>
      <c r="M446" s="13">
        <f>C446-3*D446*SQRT(0.2/(2-0.2))</f>
        <v/>
      </c>
      <c r="N446" s="13">
        <f>MAX(0,N445+(B446-C446-0.5*D446))</f>
        <v/>
      </c>
      <c r="O446" s="13">
        <f>MIN(0,O445+(B446-C446+0.5*D446))</f>
        <v/>
      </c>
      <c r="P446">
        <f>IF(ABS(G446)&gt;1,P445+1,0)</f>
        <v/>
      </c>
      <c r="Q446">
        <f>IFS(OR(ABS(G446)&gt;3,N446&gt;5*D446,ABS(O446)&gt;5*D446,P446&gt;=5),"CRITICAL",OR(ABS(G446)&gt;2,P446&gt;=3,ABS(J446)&gt;3.5),"EARLY WARNING",ABS(G446)&gt;1,"WATCH",TRUE,"NORMAL")</f>
        <v/>
      </c>
    </row>
    <row r="447">
      <c r="A447" s="12" t="n">
        <v>45472</v>
      </c>
      <c r="B447" s="13">
        <f>Raw_Data!B447</f>
        <v/>
      </c>
      <c r="C447" s="13">
        <f>AVERAGE(B418:B447)</f>
        <v/>
      </c>
      <c r="D447" s="13">
        <f>STDEV.S(B418:B447)</f>
        <v/>
      </c>
      <c r="E447" s="13">
        <f>C447+3*D447</f>
        <v/>
      </c>
      <c r="F447" s="13">
        <f>C447-3*D447</f>
        <v/>
      </c>
      <c r="G447" s="15">
        <f>IF(D447=0,"",(B447-C447)/D447)</f>
        <v/>
      </c>
      <c r="H447" s="13">
        <f>MEDIAN(B418:B447)</f>
        <v/>
      </c>
      <c r="I447" s="13">
        <f>MEDIAN(ABS(B418:B447-H447))</f>
        <v/>
      </c>
      <c r="J447" s="15">
        <f>IF(I447=0,"",0.6745*(B447-H447)/I447)</f>
        <v/>
      </c>
      <c r="K447" s="13">
        <f>0.2*B447+0.8*K446</f>
        <v/>
      </c>
      <c r="L447" s="13">
        <f>C447+3*D447*SQRT(0.2/(2-0.2))</f>
        <v/>
      </c>
      <c r="M447" s="13">
        <f>C447-3*D447*SQRT(0.2/(2-0.2))</f>
        <v/>
      </c>
      <c r="N447" s="13">
        <f>MAX(0,N446+(B447-C447-0.5*D447))</f>
        <v/>
      </c>
      <c r="O447" s="13">
        <f>MIN(0,O446+(B447-C447+0.5*D447))</f>
        <v/>
      </c>
      <c r="P447">
        <f>IF(ABS(G447)&gt;1,P446+1,0)</f>
        <v/>
      </c>
      <c r="Q447">
        <f>IFS(OR(ABS(G447)&gt;3,N447&gt;5*D447,ABS(O447)&gt;5*D447,P447&gt;=5),"CRITICAL",OR(ABS(G447)&gt;2,P447&gt;=3,ABS(J447)&gt;3.5),"EARLY WARNING",ABS(G447)&gt;1,"WATCH",TRUE,"NORMAL")</f>
        <v/>
      </c>
    </row>
    <row r="448">
      <c r="A448" s="12" t="n">
        <v>45473</v>
      </c>
      <c r="B448" s="13">
        <f>Raw_Data!B448</f>
        <v/>
      </c>
      <c r="C448" s="13">
        <f>AVERAGE(B419:B448)</f>
        <v/>
      </c>
      <c r="D448" s="13">
        <f>STDEV.S(B419:B448)</f>
        <v/>
      </c>
      <c r="E448" s="13">
        <f>C448+3*D448</f>
        <v/>
      </c>
      <c r="F448" s="13">
        <f>C448-3*D448</f>
        <v/>
      </c>
      <c r="G448" s="15">
        <f>IF(D448=0,"",(B448-C448)/D448)</f>
        <v/>
      </c>
      <c r="H448" s="13">
        <f>MEDIAN(B419:B448)</f>
        <v/>
      </c>
      <c r="I448" s="13">
        <f>MEDIAN(ABS(B419:B448-H448))</f>
        <v/>
      </c>
      <c r="J448" s="15">
        <f>IF(I448=0,"",0.6745*(B448-H448)/I448)</f>
        <v/>
      </c>
      <c r="K448" s="13">
        <f>0.2*B448+0.8*K447</f>
        <v/>
      </c>
      <c r="L448" s="13">
        <f>C448+3*D448*SQRT(0.2/(2-0.2))</f>
        <v/>
      </c>
      <c r="M448" s="13">
        <f>C448-3*D448*SQRT(0.2/(2-0.2))</f>
        <v/>
      </c>
      <c r="N448" s="13">
        <f>MAX(0,N447+(B448-C448-0.5*D448))</f>
        <v/>
      </c>
      <c r="O448" s="13">
        <f>MIN(0,O447+(B448-C448+0.5*D448))</f>
        <v/>
      </c>
      <c r="P448">
        <f>IF(ABS(G448)&gt;1,P447+1,0)</f>
        <v/>
      </c>
      <c r="Q448">
        <f>IFS(OR(ABS(G448)&gt;3,N448&gt;5*D448,ABS(O448)&gt;5*D448,P448&gt;=5),"CRITICAL",OR(ABS(G448)&gt;2,P448&gt;=3,ABS(J448)&gt;3.5),"EARLY WARNING",ABS(G448)&gt;1,"WATCH",TRUE,"NORMAL")</f>
        <v/>
      </c>
    </row>
    <row r="449">
      <c r="A449" s="12" t="n">
        <v>45474</v>
      </c>
      <c r="B449" s="13">
        <f>Raw_Data!B449</f>
        <v/>
      </c>
      <c r="C449" s="13">
        <f>AVERAGE(B420:B449)</f>
        <v/>
      </c>
      <c r="D449" s="13">
        <f>STDEV.S(B420:B449)</f>
        <v/>
      </c>
      <c r="E449" s="13">
        <f>C449+3*D449</f>
        <v/>
      </c>
      <c r="F449" s="13">
        <f>C449-3*D449</f>
        <v/>
      </c>
      <c r="G449" s="15">
        <f>IF(D449=0,"",(B449-C449)/D449)</f>
        <v/>
      </c>
      <c r="H449" s="13">
        <f>MEDIAN(B420:B449)</f>
        <v/>
      </c>
      <c r="I449" s="13">
        <f>MEDIAN(ABS(B420:B449-H449))</f>
        <v/>
      </c>
      <c r="J449" s="15">
        <f>IF(I449=0,"",0.6745*(B449-H449)/I449)</f>
        <v/>
      </c>
      <c r="K449" s="13">
        <f>0.2*B449+0.8*K448</f>
        <v/>
      </c>
      <c r="L449" s="13">
        <f>C449+3*D449*SQRT(0.2/(2-0.2))</f>
        <v/>
      </c>
      <c r="M449" s="13">
        <f>C449-3*D449*SQRT(0.2/(2-0.2))</f>
        <v/>
      </c>
      <c r="N449" s="13">
        <f>MAX(0,N448+(B449-C449-0.5*D449))</f>
        <v/>
      </c>
      <c r="O449" s="13">
        <f>MIN(0,O448+(B449-C449+0.5*D449))</f>
        <v/>
      </c>
      <c r="P449">
        <f>IF(ABS(G449)&gt;1,P448+1,0)</f>
        <v/>
      </c>
      <c r="Q449">
        <f>IFS(OR(ABS(G449)&gt;3,N449&gt;5*D449,ABS(O449)&gt;5*D449,P449&gt;=5),"CRITICAL",OR(ABS(G449)&gt;2,P449&gt;=3,ABS(J449)&gt;3.5),"EARLY WARNING",ABS(G449)&gt;1,"WATCH",TRUE,"NORMAL")</f>
        <v/>
      </c>
    </row>
    <row r="450">
      <c r="A450" s="12" t="n">
        <v>45475</v>
      </c>
      <c r="B450" s="13">
        <f>Raw_Data!B450</f>
        <v/>
      </c>
      <c r="C450" s="13">
        <f>AVERAGE(B421:B450)</f>
        <v/>
      </c>
      <c r="D450" s="13">
        <f>STDEV.S(B421:B450)</f>
        <v/>
      </c>
      <c r="E450" s="13">
        <f>C450+3*D450</f>
        <v/>
      </c>
      <c r="F450" s="13">
        <f>C450-3*D450</f>
        <v/>
      </c>
      <c r="G450" s="15">
        <f>IF(D450=0,"",(B450-C450)/D450)</f>
        <v/>
      </c>
      <c r="H450" s="13">
        <f>MEDIAN(B421:B450)</f>
        <v/>
      </c>
      <c r="I450" s="13">
        <f>MEDIAN(ABS(B421:B450-H450))</f>
        <v/>
      </c>
      <c r="J450" s="15">
        <f>IF(I450=0,"",0.6745*(B450-H450)/I450)</f>
        <v/>
      </c>
      <c r="K450" s="13">
        <f>0.2*B450+0.8*K449</f>
        <v/>
      </c>
      <c r="L450" s="13">
        <f>C450+3*D450*SQRT(0.2/(2-0.2))</f>
        <v/>
      </c>
      <c r="M450" s="13">
        <f>C450-3*D450*SQRT(0.2/(2-0.2))</f>
        <v/>
      </c>
      <c r="N450" s="13">
        <f>MAX(0,N449+(B450-C450-0.5*D450))</f>
        <v/>
      </c>
      <c r="O450" s="13">
        <f>MIN(0,O449+(B450-C450+0.5*D450))</f>
        <v/>
      </c>
      <c r="P450">
        <f>IF(ABS(G450)&gt;1,P449+1,0)</f>
        <v/>
      </c>
      <c r="Q450">
        <f>IFS(OR(ABS(G450)&gt;3,N450&gt;5*D450,ABS(O450)&gt;5*D450,P450&gt;=5),"CRITICAL",OR(ABS(G450)&gt;2,P450&gt;=3,ABS(J450)&gt;3.5),"EARLY WARNING",ABS(G450)&gt;1,"WATCH",TRUE,"NORMAL")</f>
        <v/>
      </c>
    </row>
    <row r="451">
      <c r="A451" s="12" t="n">
        <v>45476</v>
      </c>
      <c r="B451" s="13">
        <f>Raw_Data!B451</f>
        <v/>
      </c>
      <c r="C451" s="13">
        <f>AVERAGE(B422:B451)</f>
        <v/>
      </c>
      <c r="D451" s="13">
        <f>STDEV.S(B422:B451)</f>
        <v/>
      </c>
      <c r="E451" s="13">
        <f>C451+3*D451</f>
        <v/>
      </c>
      <c r="F451" s="13">
        <f>C451-3*D451</f>
        <v/>
      </c>
      <c r="G451" s="15">
        <f>IF(D451=0,"",(B451-C451)/D451)</f>
        <v/>
      </c>
      <c r="H451" s="13">
        <f>MEDIAN(B422:B451)</f>
        <v/>
      </c>
      <c r="I451" s="13">
        <f>MEDIAN(ABS(B422:B451-H451))</f>
        <v/>
      </c>
      <c r="J451" s="15">
        <f>IF(I451=0,"",0.6745*(B451-H451)/I451)</f>
        <v/>
      </c>
      <c r="K451" s="13">
        <f>0.2*B451+0.8*K450</f>
        <v/>
      </c>
      <c r="L451" s="13">
        <f>C451+3*D451*SQRT(0.2/(2-0.2))</f>
        <v/>
      </c>
      <c r="M451" s="13">
        <f>C451-3*D451*SQRT(0.2/(2-0.2))</f>
        <v/>
      </c>
      <c r="N451" s="13">
        <f>MAX(0,N450+(B451-C451-0.5*D451))</f>
        <v/>
      </c>
      <c r="O451" s="13">
        <f>MIN(0,O450+(B451-C451+0.5*D451))</f>
        <v/>
      </c>
      <c r="P451">
        <f>IF(ABS(G451)&gt;1,P450+1,0)</f>
        <v/>
      </c>
      <c r="Q451">
        <f>IFS(OR(ABS(G451)&gt;3,N451&gt;5*D451,ABS(O451)&gt;5*D451,P451&gt;=5),"CRITICAL",OR(ABS(G451)&gt;2,P451&gt;=3,ABS(J451)&gt;3.5),"EARLY WARNING",ABS(G451)&gt;1,"WATCH",TRUE,"NORMAL")</f>
        <v/>
      </c>
    </row>
    <row r="452">
      <c r="A452" s="12" t="n">
        <v>45477</v>
      </c>
      <c r="B452" s="13">
        <f>Raw_Data!B452</f>
        <v/>
      </c>
      <c r="C452" s="13">
        <f>AVERAGE(B423:B452)</f>
        <v/>
      </c>
      <c r="D452" s="13">
        <f>STDEV.S(B423:B452)</f>
        <v/>
      </c>
      <c r="E452" s="13">
        <f>C452+3*D452</f>
        <v/>
      </c>
      <c r="F452" s="13">
        <f>C452-3*D452</f>
        <v/>
      </c>
      <c r="G452" s="15">
        <f>IF(D452=0,"",(B452-C452)/D452)</f>
        <v/>
      </c>
      <c r="H452" s="13">
        <f>MEDIAN(B423:B452)</f>
        <v/>
      </c>
      <c r="I452" s="13">
        <f>MEDIAN(ABS(B423:B452-H452))</f>
        <v/>
      </c>
      <c r="J452" s="15">
        <f>IF(I452=0,"",0.6745*(B452-H452)/I452)</f>
        <v/>
      </c>
      <c r="K452" s="13">
        <f>0.2*B452+0.8*K451</f>
        <v/>
      </c>
      <c r="L452" s="13">
        <f>C452+3*D452*SQRT(0.2/(2-0.2))</f>
        <v/>
      </c>
      <c r="M452" s="13">
        <f>C452-3*D452*SQRT(0.2/(2-0.2))</f>
        <v/>
      </c>
      <c r="N452" s="13">
        <f>MAX(0,N451+(B452-C452-0.5*D452))</f>
        <v/>
      </c>
      <c r="O452" s="13">
        <f>MIN(0,O451+(B452-C452+0.5*D452))</f>
        <v/>
      </c>
      <c r="P452">
        <f>IF(ABS(G452)&gt;1,P451+1,0)</f>
        <v/>
      </c>
      <c r="Q452">
        <f>IFS(OR(ABS(G452)&gt;3,N452&gt;5*D452,ABS(O452)&gt;5*D452,P452&gt;=5),"CRITICAL",OR(ABS(G452)&gt;2,P452&gt;=3,ABS(J452)&gt;3.5),"EARLY WARNING",ABS(G452)&gt;1,"WATCH",TRUE,"NORMAL")</f>
        <v/>
      </c>
    </row>
    <row r="453">
      <c r="A453" s="12" t="n">
        <v>45478</v>
      </c>
      <c r="B453" s="13">
        <f>Raw_Data!B453</f>
        <v/>
      </c>
      <c r="C453" s="13">
        <f>AVERAGE(B424:B453)</f>
        <v/>
      </c>
      <c r="D453" s="13">
        <f>STDEV.S(B424:B453)</f>
        <v/>
      </c>
      <c r="E453" s="13">
        <f>C453+3*D453</f>
        <v/>
      </c>
      <c r="F453" s="13">
        <f>C453-3*D453</f>
        <v/>
      </c>
      <c r="G453" s="15">
        <f>IF(D453=0,"",(B453-C453)/D453)</f>
        <v/>
      </c>
      <c r="H453" s="13">
        <f>MEDIAN(B424:B453)</f>
        <v/>
      </c>
      <c r="I453" s="13">
        <f>MEDIAN(ABS(B424:B453-H453))</f>
        <v/>
      </c>
      <c r="J453" s="15">
        <f>IF(I453=0,"",0.6745*(B453-H453)/I453)</f>
        <v/>
      </c>
      <c r="K453" s="13">
        <f>0.2*B453+0.8*K452</f>
        <v/>
      </c>
      <c r="L453" s="13">
        <f>C453+3*D453*SQRT(0.2/(2-0.2))</f>
        <v/>
      </c>
      <c r="M453" s="13">
        <f>C453-3*D453*SQRT(0.2/(2-0.2))</f>
        <v/>
      </c>
      <c r="N453" s="13">
        <f>MAX(0,N452+(B453-C453-0.5*D453))</f>
        <v/>
      </c>
      <c r="O453" s="13">
        <f>MIN(0,O452+(B453-C453+0.5*D453))</f>
        <v/>
      </c>
      <c r="P453">
        <f>IF(ABS(G453)&gt;1,P452+1,0)</f>
        <v/>
      </c>
      <c r="Q453">
        <f>IFS(OR(ABS(G453)&gt;3,N453&gt;5*D453,ABS(O453)&gt;5*D453,P453&gt;=5),"CRITICAL",OR(ABS(G453)&gt;2,P453&gt;=3,ABS(J453)&gt;3.5),"EARLY WARNING",ABS(G453)&gt;1,"WATCH",TRUE,"NORMAL")</f>
        <v/>
      </c>
    </row>
    <row r="454">
      <c r="A454" s="12" t="n">
        <v>45479</v>
      </c>
      <c r="B454" s="13">
        <f>Raw_Data!B454</f>
        <v/>
      </c>
      <c r="C454" s="13">
        <f>AVERAGE(B425:B454)</f>
        <v/>
      </c>
      <c r="D454" s="13">
        <f>STDEV.S(B425:B454)</f>
        <v/>
      </c>
      <c r="E454" s="13">
        <f>C454+3*D454</f>
        <v/>
      </c>
      <c r="F454" s="13">
        <f>C454-3*D454</f>
        <v/>
      </c>
      <c r="G454" s="15">
        <f>IF(D454=0,"",(B454-C454)/D454)</f>
        <v/>
      </c>
      <c r="H454" s="13">
        <f>MEDIAN(B425:B454)</f>
        <v/>
      </c>
      <c r="I454" s="13">
        <f>MEDIAN(ABS(B425:B454-H454))</f>
        <v/>
      </c>
      <c r="J454" s="15">
        <f>IF(I454=0,"",0.6745*(B454-H454)/I454)</f>
        <v/>
      </c>
      <c r="K454" s="13">
        <f>0.2*B454+0.8*K453</f>
        <v/>
      </c>
      <c r="L454" s="13">
        <f>C454+3*D454*SQRT(0.2/(2-0.2))</f>
        <v/>
      </c>
      <c r="M454" s="13">
        <f>C454-3*D454*SQRT(0.2/(2-0.2))</f>
        <v/>
      </c>
      <c r="N454" s="13">
        <f>MAX(0,N453+(B454-C454-0.5*D454))</f>
        <v/>
      </c>
      <c r="O454" s="13">
        <f>MIN(0,O453+(B454-C454+0.5*D454))</f>
        <v/>
      </c>
      <c r="P454">
        <f>IF(ABS(G454)&gt;1,P453+1,0)</f>
        <v/>
      </c>
      <c r="Q454">
        <f>IFS(OR(ABS(G454)&gt;3,N454&gt;5*D454,ABS(O454)&gt;5*D454,P454&gt;=5),"CRITICAL",OR(ABS(G454)&gt;2,P454&gt;=3,ABS(J454)&gt;3.5),"EARLY WARNING",ABS(G454)&gt;1,"WATCH",TRUE,"NORMAL")</f>
        <v/>
      </c>
    </row>
    <row r="455">
      <c r="A455" s="12" t="n">
        <v>45480</v>
      </c>
      <c r="B455" s="13">
        <f>Raw_Data!B455</f>
        <v/>
      </c>
      <c r="C455" s="13">
        <f>AVERAGE(B426:B455)</f>
        <v/>
      </c>
      <c r="D455" s="13">
        <f>STDEV.S(B426:B455)</f>
        <v/>
      </c>
      <c r="E455" s="13">
        <f>C455+3*D455</f>
        <v/>
      </c>
      <c r="F455" s="13">
        <f>C455-3*D455</f>
        <v/>
      </c>
      <c r="G455" s="15">
        <f>IF(D455=0,"",(B455-C455)/D455)</f>
        <v/>
      </c>
      <c r="H455" s="13">
        <f>MEDIAN(B426:B455)</f>
        <v/>
      </c>
      <c r="I455" s="13">
        <f>MEDIAN(ABS(B426:B455-H455))</f>
        <v/>
      </c>
      <c r="J455" s="15">
        <f>IF(I455=0,"",0.6745*(B455-H455)/I455)</f>
        <v/>
      </c>
      <c r="K455" s="13">
        <f>0.2*B455+0.8*K454</f>
        <v/>
      </c>
      <c r="L455" s="13">
        <f>C455+3*D455*SQRT(0.2/(2-0.2))</f>
        <v/>
      </c>
      <c r="M455" s="13">
        <f>C455-3*D455*SQRT(0.2/(2-0.2))</f>
        <v/>
      </c>
      <c r="N455" s="13">
        <f>MAX(0,N454+(B455-C455-0.5*D455))</f>
        <v/>
      </c>
      <c r="O455" s="13">
        <f>MIN(0,O454+(B455-C455+0.5*D455))</f>
        <v/>
      </c>
      <c r="P455">
        <f>IF(ABS(G455)&gt;1,P454+1,0)</f>
        <v/>
      </c>
      <c r="Q455">
        <f>IFS(OR(ABS(G455)&gt;3,N455&gt;5*D455,ABS(O455)&gt;5*D455,P455&gt;=5),"CRITICAL",OR(ABS(G455)&gt;2,P455&gt;=3,ABS(J455)&gt;3.5),"EARLY WARNING",ABS(G455)&gt;1,"WATCH",TRUE,"NORMAL")</f>
        <v/>
      </c>
    </row>
    <row r="456">
      <c r="A456" s="12" t="n">
        <v>45481</v>
      </c>
      <c r="B456" s="13">
        <f>Raw_Data!B456</f>
        <v/>
      </c>
      <c r="C456" s="13">
        <f>AVERAGE(B427:B456)</f>
        <v/>
      </c>
      <c r="D456" s="13">
        <f>STDEV.S(B427:B456)</f>
        <v/>
      </c>
      <c r="E456" s="13">
        <f>C456+3*D456</f>
        <v/>
      </c>
      <c r="F456" s="13">
        <f>C456-3*D456</f>
        <v/>
      </c>
      <c r="G456" s="15">
        <f>IF(D456=0,"",(B456-C456)/D456)</f>
        <v/>
      </c>
      <c r="H456" s="13">
        <f>MEDIAN(B427:B456)</f>
        <v/>
      </c>
      <c r="I456" s="13">
        <f>MEDIAN(ABS(B427:B456-H456))</f>
        <v/>
      </c>
      <c r="J456" s="15">
        <f>IF(I456=0,"",0.6745*(B456-H456)/I456)</f>
        <v/>
      </c>
      <c r="K456" s="13">
        <f>0.2*B456+0.8*K455</f>
        <v/>
      </c>
      <c r="L456" s="13">
        <f>C456+3*D456*SQRT(0.2/(2-0.2))</f>
        <v/>
      </c>
      <c r="M456" s="13">
        <f>C456-3*D456*SQRT(0.2/(2-0.2))</f>
        <v/>
      </c>
      <c r="N456" s="13">
        <f>MAX(0,N455+(B456-C456-0.5*D456))</f>
        <v/>
      </c>
      <c r="O456" s="13">
        <f>MIN(0,O455+(B456-C456+0.5*D456))</f>
        <v/>
      </c>
      <c r="P456">
        <f>IF(ABS(G456)&gt;1,P455+1,0)</f>
        <v/>
      </c>
      <c r="Q456">
        <f>IFS(OR(ABS(G456)&gt;3,N456&gt;5*D456,ABS(O456)&gt;5*D456,P456&gt;=5),"CRITICAL",OR(ABS(G456)&gt;2,P456&gt;=3,ABS(J456)&gt;3.5),"EARLY WARNING",ABS(G456)&gt;1,"WATCH",TRUE,"NORMAL")</f>
        <v/>
      </c>
    </row>
    <row r="457">
      <c r="A457" s="12" t="n">
        <v>45482</v>
      </c>
      <c r="B457" s="13">
        <f>Raw_Data!B457</f>
        <v/>
      </c>
      <c r="C457" s="13">
        <f>AVERAGE(B428:B457)</f>
        <v/>
      </c>
      <c r="D457" s="13">
        <f>STDEV.S(B428:B457)</f>
        <v/>
      </c>
      <c r="E457" s="13">
        <f>C457+3*D457</f>
        <v/>
      </c>
      <c r="F457" s="13">
        <f>C457-3*D457</f>
        <v/>
      </c>
      <c r="G457" s="15">
        <f>IF(D457=0,"",(B457-C457)/D457)</f>
        <v/>
      </c>
      <c r="H457" s="13">
        <f>MEDIAN(B428:B457)</f>
        <v/>
      </c>
      <c r="I457" s="13">
        <f>MEDIAN(ABS(B428:B457-H457))</f>
        <v/>
      </c>
      <c r="J457" s="15">
        <f>IF(I457=0,"",0.6745*(B457-H457)/I457)</f>
        <v/>
      </c>
      <c r="K457" s="13">
        <f>0.2*B457+0.8*K456</f>
        <v/>
      </c>
      <c r="L457" s="13">
        <f>C457+3*D457*SQRT(0.2/(2-0.2))</f>
        <v/>
      </c>
      <c r="M457" s="13">
        <f>C457-3*D457*SQRT(0.2/(2-0.2))</f>
        <v/>
      </c>
      <c r="N457" s="13">
        <f>MAX(0,N456+(B457-C457-0.5*D457))</f>
        <v/>
      </c>
      <c r="O457" s="13">
        <f>MIN(0,O456+(B457-C457+0.5*D457))</f>
        <v/>
      </c>
      <c r="P457">
        <f>IF(ABS(G457)&gt;1,P456+1,0)</f>
        <v/>
      </c>
      <c r="Q457">
        <f>IFS(OR(ABS(G457)&gt;3,N457&gt;5*D457,ABS(O457)&gt;5*D457,P457&gt;=5),"CRITICAL",OR(ABS(G457)&gt;2,P457&gt;=3,ABS(J457)&gt;3.5),"EARLY WARNING",ABS(G457)&gt;1,"WATCH",TRUE,"NORMAL")</f>
        <v/>
      </c>
    </row>
    <row r="458">
      <c r="A458" s="12" t="n">
        <v>45483</v>
      </c>
      <c r="B458" s="13">
        <f>Raw_Data!B458</f>
        <v/>
      </c>
      <c r="C458" s="13">
        <f>AVERAGE(B429:B458)</f>
        <v/>
      </c>
      <c r="D458" s="13">
        <f>STDEV.S(B429:B458)</f>
        <v/>
      </c>
      <c r="E458" s="13">
        <f>C458+3*D458</f>
        <v/>
      </c>
      <c r="F458" s="13">
        <f>C458-3*D458</f>
        <v/>
      </c>
      <c r="G458" s="15">
        <f>IF(D458=0,"",(B458-C458)/D458)</f>
        <v/>
      </c>
      <c r="H458" s="13">
        <f>MEDIAN(B429:B458)</f>
        <v/>
      </c>
      <c r="I458" s="13">
        <f>MEDIAN(ABS(B429:B458-H458))</f>
        <v/>
      </c>
      <c r="J458" s="15">
        <f>IF(I458=0,"",0.6745*(B458-H458)/I458)</f>
        <v/>
      </c>
      <c r="K458" s="13">
        <f>0.2*B458+0.8*K457</f>
        <v/>
      </c>
      <c r="L458" s="13">
        <f>C458+3*D458*SQRT(0.2/(2-0.2))</f>
        <v/>
      </c>
      <c r="M458" s="13">
        <f>C458-3*D458*SQRT(0.2/(2-0.2))</f>
        <v/>
      </c>
      <c r="N458" s="13">
        <f>MAX(0,N457+(B458-C458-0.5*D458))</f>
        <v/>
      </c>
      <c r="O458" s="13">
        <f>MIN(0,O457+(B458-C458+0.5*D458))</f>
        <v/>
      </c>
      <c r="P458">
        <f>IF(ABS(G458)&gt;1,P457+1,0)</f>
        <v/>
      </c>
      <c r="Q458">
        <f>IFS(OR(ABS(G458)&gt;3,N458&gt;5*D458,ABS(O458)&gt;5*D458,P458&gt;=5),"CRITICAL",OR(ABS(G458)&gt;2,P458&gt;=3,ABS(J458)&gt;3.5),"EARLY WARNING",ABS(G458)&gt;1,"WATCH",TRUE,"NORMAL")</f>
        <v/>
      </c>
    </row>
    <row r="459">
      <c r="A459" s="12" t="n">
        <v>45484</v>
      </c>
      <c r="B459" s="13">
        <f>Raw_Data!B459</f>
        <v/>
      </c>
      <c r="C459" s="13">
        <f>AVERAGE(B430:B459)</f>
        <v/>
      </c>
      <c r="D459" s="13">
        <f>STDEV.S(B430:B459)</f>
        <v/>
      </c>
      <c r="E459" s="13">
        <f>C459+3*D459</f>
        <v/>
      </c>
      <c r="F459" s="13">
        <f>C459-3*D459</f>
        <v/>
      </c>
      <c r="G459" s="15">
        <f>IF(D459=0,"",(B459-C459)/D459)</f>
        <v/>
      </c>
      <c r="H459" s="13">
        <f>MEDIAN(B430:B459)</f>
        <v/>
      </c>
      <c r="I459" s="13">
        <f>MEDIAN(ABS(B430:B459-H459))</f>
        <v/>
      </c>
      <c r="J459" s="15">
        <f>IF(I459=0,"",0.6745*(B459-H459)/I459)</f>
        <v/>
      </c>
      <c r="K459" s="13">
        <f>0.2*B459+0.8*K458</f>
        <v/>
      </c>
      <c r="L459" s="13">
        <f>C459+3*D459*SQRT(0.2/(2-0.2))</f>
        <v/>
      </c>
      <c r="M459" s="13">
        <f>C459-3*D459*SQRT(0.2/(2-0.2))</f>
        <v/>
      </c>
      <c r="N459" s="13">
        <f>MAX(0,N458+(B459-C459-0.5*D459))</f>
        <v/>
      </c>
      <c r="O459" s="13">
        <f>MIN(0,O458+(B459-C459+0.5*D459))</f>
        <v/>
      </c>
      <c r="P459">
        <f>IF(ABS(G459)&gt;1,P458+1,0)</f>
        <v/>
      </c>
      <c r="Q459">
        <f>IFS(OR(ABS(G459)&gt;3,N459&gt;5*D459,ABS(O459)&gt;5*D459,P459&gt;=5),"CRITICAL",OR(ABS(G459)&gt;2,P459&gt;=3,ABS(J459)&gt;3.5),"EARLY WARNING",ABS(G459)&gt;1,"WATCH",TRUE,"NORMAL")</f>
        <v/>
      </c>
    </row>
    <row r="460">
      <c r="A460" s="12" t="n">
        <v>45485</v>
      </c>
      <c r="B460" s="13">
        <f>Raw_Data!B460</f>
        <v/>
      </c>
      <c r="C460" s="13">
        <f>AVERAGE(B431:B460)</f>
        <v/>
      </c>
      <c r="D460" s="13">
        <f>STDEV.S(B431:B460)</f>
        <v/>
      </c>
      <c r="E460" s="13">
        <f>C460+3*D460</f>
        <v/>
      </c>
      <c r="F460" s="13">
        <f>C460-3*D460</f>
        <v/>
      </c>
      <c r="G460" s="15">
        <f>IF(D460=0,"",(B460-C460)/D460)</f>
        <v/>
      </c>
      <c r="H460" s="13">
        <f>MEDIAN(B431:B460)</f>
        <v/>
      </c>
      <c r="I460" s="13">
        <f>MEDIAN(ABS(B431:B460-H460))</f>
        <v/>
      </c>
      <c r="J460" s="15">
        <f>IF(I460=0,"",0.6745*(B460-H460)/I460)</f>
        <v/>
      </c>
      <c r="K460" s="13">
        <f>0.2*B460+0.8*K459</f>
        <v/>
      </c>
      <c r="L460" s="13">
        <f>C460+3*D460*SQRT(0.2/(2-0.2))</f>
        <v/>
      </c>
      <c r="M460" s="13">
        <f>C460-3*D460*SQRT(0.2/(2-0.2))</f>
        <v/>
      </c>
      <c r="N460" s="13">
        <f>MAX(0,N459+(B460-C460-0.5*D460))</f>
        <v/>
      </c>
      <c r="O460" s="13">
        <f>MIN(0,O459+(B460-C460+0.5*D460))</f>
        <v/>
      </c>
      <c r="P460">
        <f>IF(ABS(G460)&gt;1,P459+1,0)</f>
        <v/>
      </c>
      <c r="Q460">
        <f>IFS(OR(ABS(G460)&gt;3,N460&gt;5*D460,ABS(O460)&gt;5*D460,P460&gt;=5),"CRITICAL",OR(ABS(G460)&gt;2,P460&gt;=3,ABS(J460)&gt;3.5),"EARLY WARNING",ABS(G460)&gt;1,"WATCH",TRUE,"NORMAL")</f>
        <v/>
      </c>
    </row>
    <row r="461">
      <c r="A461" s="12" t="n">
        <v>45486</v>
      </c>
      <c r="B461" s="13">
        <f>Raw_Data!B461</f>
        <v/>
      </c>
      <c r="C461" s="13">
        <f>AVERAGE(B432:B461)</f>
        <v/>
      </c>
      <c r="D461" s="13">
        <f>STDEV.S(B432:B461)</f>
        <v/>
      </c>
      <c r="E461" s="13">
        <f>C461+3*D461</f>
        <v/>
      </c>
      <c r="F461" s="13">
        <f>C461-3*D461</f>
        <v/>
      </c>
      <c r="G461" s="15">
        <f>IF(D461=0,"",(B461-C461)/D461)</f>
        <v/>
      </c>
      <c r="H461" s="13">
        <f>MEDIAN(B432:B461)</f>
        <v/>
      </c>
      <c r="I461" s="13">
        <f>MEDIAN(ABS(B432:B461-H461))</f>
        <v/>
      </c>
      <c r="J461" s="15">
        <f>IF(I461=0,"",0.6745*(B461-H461)/I461)</f>
        <v/>
      </c>
      <c r="K461" s="13">
        <f>0.2*B461+0.8*K460</f>
        <v/>
      </c>
      <c r="L461" s="13">
        <f>C461+3*D461*SQRT(0.2/(2-0.2))</f>
        <v/>
      </c>
      <c r="M461" s="13">
        <f>C461-3*D461*SQRT(0.2/(2-0.2))</f>
        <v/>
      </c>
      <c r="N461" s="13">
        <f>MAX(0,N460+(B461-C461-0.5*D461))</f>
        <v/>
      </c>
      <c r="O461" s="13">
        <f>MIN(0,O460+(B461-C461+0.5*D461))</f>
        <v/>
      </c>
      <c r="P461">
        <f>IF(ABS(G461)&gt;1,P460+1,0)</f>
        <v/>
      </c>
      <c r="Q461">
        <f>IFS(OR(ABS(G461)&gt;3,N461&gt;5*D461,ABS(O461)&gt;5*D461,P461&gt;=5),"CRITICAL",OR(ABS(G461)&gt;2,P461&gt;=3,ABS(J461)&gt;3.5),"EARLY WARNING",ABS(G461)&gt;1,"WATCH",TRUE,"NORMAL")</f>
        <v/>
      </c>
    </row>
    <row r="462">
      <c r="A462" s="12" t="n">
        <v>45487</v>
      </c>
      <c r="B462" s="13">
        <f>Raw_Data!B462</f>
        <v/>
      </c>
      <c r="C462" s="13">
        <f>AVERAGE(B433:B462)</f>
        <v/>
      </c>
      <c r="D462" s="13">
        <f>STDEV.S(B433:B462)</f>
        <v/>
      </c>
      <c r="E462" s="13">
        <f>C462+3*D462</f>
        <v/>
      </c>
      <c r="F462" s="13">
        <f>C462-3*D462</f>
        <v/>
      </c>
      <c r="G462" s="15">
        <f>IF(D462=0,"",(B462-C462)/D462)</f>
        <v/>
      </c>
      <c r="H462" s="13">
        <f>MEDIAN(B433:B462)</f>
        <v/>
      </c>
      <c r="I462" s="13">
        <f>MEDIAN(ABS(B433:B462-H462))</f>
        <v/>
      </c>
      <c r="J462" s="15">
        <f>IF(I462=0,"",0.6745*(B462-H462)/I462)</f>
        <v/>
      </c>
      <c r="K462" s="13">
        <f>0.2*B462+0.8*K461</f>
        <v/>
      </c>
      <c r="L462" s="13">
        <f>C462+3*D462*SQRT(0.2/(2-0.2))</f>
        <v/>
      </c>
      <c r="M462" s="13">
        <f>C462-3*D462*SQRT(0.2/(2-0.2))</f>
        <v/>
      </c>
      <c r="N462" s="13">
        <f>MAX(0,N461+(B462-C462-0.5*D462))</f>
        <v/>
      </c>
      <c r="O462" s="13">
        <f>MIN(0,O461+(B462-C462+0.5*D462))</f>
        <v/>
      </c>
      <c r="P462">
        <f>IF(ABS(G462)&gt;1,P461+1,0)</f>
        <v/>
      </c>
      <c r="Q462">
        <f>IFS(OR(ABS(G462)&gt;3,N462&gt;5*D462,ABS(O462)&gt;5*D462,P462&gt;=5),"CRITICAL",OR(ABS(G462)&gt;2,P462&gt;=3,ABS(J462)&gt;3.5),"EARLY WARNING",ABS(G462)&gt;1,"WATCH",TRUE,"NORMAL")</f>
        <v/>
      </c>
    </row>
    <row r="463">
      <c r="A463" s="12" t="n">
        <v>45488</v>
      </c>
      <c r="B463" s="13">
        <f>Raw_Data!B463</f>
        <v/>
      </c>
      <c r="C463" s="13">
        <f>AVERAGE(B434:B463)</f>
        <v/>
      </c>
      <c r="D463" s="13">
        <f>STDEV.S(B434:B463)</f>
        <v/>
      </c>
      <c r="E463" s="13">
        <f>C463+3*D463</f>
        <v/>
      </c>
      <c r="F463" s="13">
        <f>C463-3*D463</f>
        <v/>
      </c>
      <c r="G463" s="15">
        <f>IF(D463=0,"",(B463-C463)/D463)</f>
        <v/>
      </c>
      <c r="H463" s="13">
        <f>MEDIAN(B434:B463)</f>
        <v/>
      </c>
      <c r="I463" s="13">
        <f>MEDIAN(ABS(B434:B463-H463))</f>
        <v/>
      </c>
      <c r="J463" s="15">
        <f>IF(I463=0,"",0.6745*(B463-H463)/I463)</f>
        <v/>
      </c>
      <c r="K463" s="13">
        <f>0.2*B463+0.8*K462</f>
        <v/>
      </c>
      <c r="L463" s="13">
        <f>C463+3*D463*SQRT(0.2/(2-0.2))</f>
        <v/>
      </c>
      <c r="M463" s="13">
        <f>C463-3*D463*SQRT(0.2/(2-0.2))</f>
        <v/>
      </c>
      <c r="N463" s="13">
        <f>MAX(0,N462+(B463-C463-0.5*D463))</f>
        <v/>
      </c>
      <c r="O463" s="13">
        <f>MIN(0,O462+(B463-C463+0.5*D463))</f>
        <v/>
      </c>
      <c r="P463">
        <f>IF(ABS(G463)&gt;1,P462+1,0)</f>
        <v/>
      </c>
      <c r="Q463">
        <f>IFS(OR(ABS(G463)&gt;3,N463&gt;5*D463,ABS(O463)&gt;5*D463,P463&gt;=5),"CRITICAL",OR(ABS(G463)&gt;2,P463&gt;=3,ABS(J463)&gt;3.5),"EARLY WARNING",ABS(G463)&gt;1,"WATCH",TRUE,"NORMAL")</f>
        <v/>
      </c>
    </row>
    <row r="464">
      <c r="A464" s="12" t="n">
        <v>45489</v>
      </c>
      <c r="B464" s="13">
        <f>Raw_Data!B464</f>
        <v/>
      </c>
      <c r="C464" s="13">
        <f>AVERAGE(B435:B464)</f>
        <v/>
      </c>
      <c r="D464" s="13">
        <f>STDEV.S(B435:B464)</f>
        <v/>
      </c>
      <c r="E464" s="13">
        <f>C464+3*D464</f>
        <v/>
      </c>
      <c r="F464" s="13">
        <f>C464-3*D464</f>
        <v/>
      </c>
      <c r="G464" s="15">
        <f>IF(D464=0,"",(B464-C464)/D464)</f>
        <v/>
      </c>
      <c r="H464" s="13">
        <f>MEDIAN(B435:B464)</f>
        <v/>
      </c>
      <c r="I464" s="13">
        <f>MEDIAN(ABS(B435:B464-H464))</f>
        <v/>
      </c>
      <c r="J464" s="15">
        <f>IF(I464=0,"",0.6745*(B464-H464)/I464)</f>
        <v/>
      </c>
      <c r="K464" s="13">
        <f>0.2*B464+0.8*K463</f>
        <v/>
      </c>
      <c r="L464" s="13">
        <f>C464+3*D464*SQRT(0.2/(2-0.2))</f>
        <v/>
      </c>
      <c r="M464" s="13">
        <f>C464-3*D464*SQRT(0.2/(2-0.2))</f>
        <v/>
      </c>
      <c r="N464" s="13">
        <f>MAX(0,N463+(B464-C464-0.5*D464))</f>
        <v/>
      </c>
      <c r="O464" s="13">
        <f>MIN(0,O463+(B464-C464+0.5*D464))</f>
        <v/>
      </c>
      <c r="P464">
        <f>IF(ABS(G464)&gt;1,P463+1,0)</f>
        <v/>
      </c>
      <c r="Q464">
        <f>IFS(OR(ABS(G464)&gt;3,N464&gt;5*D464,ABS(O464)&gt;5*D464,P464&gt;=5),"CRITICAL",OR(ABS(G464)&gt;2,P464&gt;=3,ABS(J464)&gt;3.5),"EARLY WARNING",ABS(G464)&gt;1,"WATCH",TRUE,"NORMAL")</f>
        <v/>
      </c>
    </row>
    <row r="465">
      <c r="A465" s="12" t="n">
        <v>45490</v>
      </c>
      <c r="B465" s="13">
        <f>Raw_Data!B465</f>
        <v/>
      </c>
      <c r="C465" s="13">
        <f>AVERAGE(B436:B465)</f>
        <v/>
      </c>
      <c r="D465" s="13">
        <f>STDEV.S(B436:B465)</f>
        <v/>
      </c>
      <c r="E465" s="13">
        <f>C465+3*D465</f>
        <v/>
      </c>
      <c r="F465" s="13">
        <f>C465-3*D465</f>
        <v/>
      </c>
      <c r="G465" s="15">
        <f>IF(D465=0,"",(B465-C465)/D465)</f>
        <v/>
      </c>
      <c r="H465" s="13">
        <f>MEDIAN(B436:B465)</f>
        <v/>
      </c>
      <c r="I465" s="13">
        <f>MEDIAN(ABS(B436:B465-H465))</f>
        <v/>
      </c>
      <c r="J465" s="15">
        <f>IF(I465=0,"",0.6745*(B465-H465)/I465)</f>
        <v/>
      </c>
      <c r="K465" s="13">
        <f>0.2*B465+0.8*K464</f>
        <v/>
      </c>
      <c r="L465" s="13">
        <f>C465+3*D465*SQRT(0.2/(2-0.2))</f>
        <v/>
      </c>
      <c r="M465" s="13">
        <f>C465-3*D465*SQRT(0.2/(2-0.2))</f>
        <v/>
      </c>
      <c r="N465" s="13">
        <f>MAX(0,N464+(B465-C465-0.5*D465))</f>
        <v/>
      </c>
      <c r="O465" s="13">
        <f>MIN(0,O464+(B465-C465+0.5*D465))</f>
        <v/>
      </c>
      <c r="P465">
        <f>IF(ABS(G465)&gt;1,P464+1,0)</f>
        <v/>
      </c>
      <c r="Q465">
        <f>IFS(OR(ABS(G465)&gt;3,N465&gt;5*D465,ABS(O465)&gt;5*D465,P465&gt;=5),"CRITICAL",OR(ABS(G465)&gt;2,P465&gt;=3,ABS(J465)&gt;3.5),"EARLY WARNING",ABS(G465)&gt;1,"WATCH",TRUE,"NORMAL")</f>
        <v/>
      </c>
    </row>
    <row r="466">
      <c r="A466" s="12" t="n">
        <v>45491</v>
      </c>
      <c r="B466" s="13">
        <f>Raw_Data!B466</f>
        <v/>
      </c>
      <c r="C466" s="13">
        <f>AVERAGE(B437:B466)</f>
        <v/>
      </c>
      <c r="D466" s="13">
        <f>STDEV.S(B437:B466)</f>
        <v/>
      </c>
      <c r="E466" s="13">
        <f>C466+3*D466</f>
        <v/>
      </c>
      <c r="F466" s="13">
        <f>C466-3*D466</f>
        <v/>
      </c>
      <c r="G466" s="15">
        <f>IF(D466=0,"",(B466-C466)/D466)</f>
        <v/>
      </c>
      <c r="H466" s="13">
        <f>MEDIAN(B437:B466)</f>
        <v/>
      </c>
      <c r="I466" s="13">
        <f>MEDIAN(ABS(B437:B466-H466))</f>
        <v/>
      </c>
      <c r="J466" s="15">
        <f>IF(I466=0,"",0.6745*(B466-H466)/I466)</f>
        <v/>
      </c>
      <c r="K466" s="13">
        <f>0.2*B466+0.8*K465</f>
        <v/>
      </c>
      <c r="L466" s="13">
        <f>C466+3*D466*SQRT(0.2/(2-0.2))</f>
        <v/>
      </c>
      <c r="M466" s="13">
        <f>C466-3*D466*SQRT(0.2/(2-0.2))</f>
        <v/>
      </c>
      <c r="N466" s="13">
        <f>MAX(0,N465+(B466-C466-0.5*D466))</f>
        <v/>
      </c>
      <c r="O466" s="13">
        <f>MIN(0,O465+(B466-C466+0.5*D466))</f>
        <v/>
      </c>
      <c r="P466">
        <f>IF(ABS(G466)&gt;1,P465+1,0)</f>
        <v/>
      </c>
      <c r="Q466">
        <f>IFS(OR(ABS(G466)&gt;3,N466&gt;5*D466,ABS(O466)&gt;5*D466,P466&gt;=5),"CRITICAL",OR(ABS(G466)&gt;2,P466&gt;=3,ABS(J466)&gt;3.5),"EARLY WARNING",ABS(G466)&gt;1,"WATCH",TRUE,"NORMAL")</f>
        <v/>
      </c>
    </row>
    <row r="467">
      <c r="A467" s="12" t="n">
        <v>45492</v>
      </c>
      <c r="B467" s="13">
        <f>Raw_Data!B467</f>
        <v/>
      </c>
      <c r="C467" s="13">
        <f>AVERAGE(B438:B467)</f>
        <v/>
      </c>
      <c r="D467" s="13">
        <f>STDEV.S(B438:B467)</f>
        <v/>
      </c>
      <c r="E467" s="13">
        <f>C467+3*D467</f>
        <v/>
      </c>
      <c r="F467" s="13">
        <f>C467-3*D467</f>
        <v/>
      </c>
      <c r="G467" s="15">
        <f>IF(D467=0,"",(B467-C467)/D467)</f>
        <v/>
      </c>
      <c r="H467" s="13">
        <f>MEDIAN(B438:B467)</f>
        <v/>
      </c>
      <c r="I467" s="13">
        <f>MEDIAN(ABS(B438:B467-H467))</f>
        <v/>
      </c>
      <c r="J467" s="15">
        <f>IF(I467=0,"",0.6745*(B467-H467)/I467)</f>
        <v/>
      </c>
      <c r="K467" s="13">
        <f>0.2*B467+0.8*K466</f>
        <v/>
      </c>
      <c r="L467" s="13">
        <f>C467+3*D467*SQRT(0.2/(2-0.2))</f>
        <v/>
      </c>
      <c r="M467" s="13">
        <f>C467-3*D467*SQRT(0.2/(2-0.2))</f>
        <v/>
      </c>
      <c r="N467" s="13">
        <f>MAX(0,N466+(B467-C467-0.5*D467))</f>
        <v/>
      </c>
      <c r="O467" s="13">
        <f>MIN(0,O466+(B467-C467+0.5*D467))</f>
        <v/>
      </c>
      <c r="P467">
        <f>IF(ABS(G467)&gt;1,P466+1,0)</f>
        <v/>
      </c>
      <c r="Q467">
        <f>IFS(OR(ABS(G467)&gt;3,N467&gt;5*D467,ABS(O467)&gt;5*D467,P467&gt;=5),"CRITICAL",OR(ABS(G467)&gt;2,P467&gt;=3,ABS(J467)&gt;3.5),"EARLY WARNING",ABS(G467)&gt;1,"WATCH",TRUE,"NORMAL")</f>
        <v/>
      </c>
    </row>
    <row r="468">
      <c r="A468" s="12" t="n">
        <v>45493</v>
      </c>
      <c r="B468" s="13">
        <f>Raw_Data!B468</f>
        <v/>
      </c>
      <c r="C468" s="13">
        <f>AVERAGE(B439:B468)</f>
        <v/>
      </c>
      <c r="D468" s="13">
        <f>STDEV.S(B439:B468)</f>
        <v/>
      </c>
      <c r="E468" s="13">
        <f>C468+3*D468</f>
        <v/>
      </c>
      <c r="F468" s="13">
        <f>C468-3*D468</f>
        <v/>
      </c>
      <c r="G468" s="15">
        <f>IF(D468=0,"",(B468-C468)/D468)</f>
        <v/>
      </c>
      <c r="H468" s="13">
        <f>MEDIAN(B439:B468)</f>
        <v/>
      </c>
      <c r="I468" s="13">
        <f>MEDIAN(ABS(B439:B468-H468))</f>
        <v/>
      </c>
      <c r="J468" s="15">
        <f>IF(I468=0,"",0.6745*(B468-H468)/I468)</f>
        <v/>
      </c>
      <c r="K468" s="13">
        <f>0.2*B468+0.8*K467</f>
        <v/>
      </c>
      <c r="L468" s="13">
        <f>C468+3*D468*SQRT(0.2/(2-0.2))</f>
        <v/>
      </c>
      <c r="M468" s="13">
        <f>C468-3*D468*SQRT(0.2/(2-0.2))</f>
        <v/>
      </c>
      <c r="N468" s="13">
        <f>MAX(0,N467+(B468-C468-0.5*D468))</f>
        <v/>
      </c>
      <c r="O468" s="13">
        <f>MIN(0,O467+(B468-C468+0.5*D468))</f>
        <v/>
      </c>
      <c r="P468">
        <f>IF(ABS(G468)&gt;1,P467+1,0)</f>
        <v/>
      </c>
      <c r="Q468">
        <f>IFS(OR(ABS(G468)&gt;3,N468&gt;5*D468,ABS(O468)&gt;5*D468,P468&gt;=5),"CRITICAL",OR(ABS(G468)&gt;2,P468&gt;=3,ABS(J468)&gt;3.5),"EARLY WARNING",ABS(G468)&gt;1,"WATCH",TRUE,"NORMAL")</f>
        <v/>
      </c>
    </row>
    <row r="469">
      <c r="A469" s="12" t="n">
        <v>45494</v>
      </c>
      <c r="B469" s="13">
        <f>Raw_Data!B469</f>
        <v/>
      </c>
      <c r="C469" s="13">
        <f>AVERAGE(B440:B469)</f>
        <v/>
      </c>
      <c r="D469" s="13">
        <f>STDEV.S(B440:B469)</f>
        <v/>
      </c>
      <c r="E469" s="13">
        <f>C469+3*D469</f>
        <v/>
      </c>
      <c r="F469" s="13">
        <f>C469-3*D469</f>
        <v/>
      </c>
      <c r="G469" s="15">
        <f>IF(D469=0,"",(B469-C469)/D469)</f>
        <v/>
      </c>
      <c r="H469" s="13">
        <f>MEDIAN(B440:B469)</f>
        <v/>
      </c>
      <c r="I469" s="13">
        <f>MEDIAN(ABS(B440:B469-H469))</f>
        <v/>
      </c>
      <c r="J469" s="15">
        <f>IF(I469=0,"",0.6745*(B469-H469)/I469)</f>
        <v/>
      </c>
      <c r="K469" s="13">
        <f>0.2*B469+0.8*K468</f>
        <v/>
      </c>
      <c r="L469" s="13">
        <f>C469+3*D469*SQRT(0.2/(2-0.2))</f>
        <v/>
      </c>
      <c r="M469" s="13">
        <f>C469-3*D469*SQRT(0.2/(2-0.2))</f>
        <v/>
      </c>
      <c r="N469" s="13">
        <f>MAX(0,N468+(B469-C469-0.5*D469))</f>
        <v/>
      </c>
      <c r="O469" s="13">
        <f>MIN(0,O468+(B469-C469+0.5*D469))</f>
        <v/>
      </c>
      <c r="P469">
        <f>IF(ABS(G469)&gt;1,P468+1,0)</f>
        <v/>
      </c>
      <c r="Q469">
        <f>IFS(OR(ABS(G469)&gt;3,N469&gt;5*D469,ABS(O469)&gt;5*D469,P469&gt;=5),"CRITICAL",OR(ABS(G469)&gt;2,P469&gt;=3,ABS(J469)&gt;3.5),"EARLY WARNING",ABS(G469)&gt;1,"WATCH",TRUE,"NORMAL")</f>
        <v/>
      </c>
    </row>
    <row r="470">
      <c r="A470" s="12" t="n">
        <v>45495</v>
      </c>
      <c r="B470" s="13">
        <f>Raw_Data!B470</f>
        <v/>
      </c>
      <c r="C470" s="13">
        <f>AVERAGE(B441:B470)</f>
        <v/>
      </c>
      <c r="D470" s="13">
        <f>STDEV.S(B441:B470)</f>
        <v/>
      </c>
      <c r="E470" s="13">
        <f>C470+3*D470</f>
        <v/>
      </c>
      <c r="F470" s="13">
        <f>C470-3*D470</f>
        <v/>
      </c>
      <c r="G470" s="15">
        <f>IF(D470=0,"",(B470-C470)/D470)</f>
        <v/>
      </c>
      <c r="H470" s="13">
        <f>MEDIAN(B441:B470)</f>
        <v/>
      </c>
      <c r="I470" s="13">
        <f>MEDIAN(ABS(B441:B470-H470))</f>
        <v/>
      </c>
      <c r="J470" s="15">
        <f>IF(I470=0,"",0.6745*(B470-H470)/I470)</f>
        <v/>
      </c>
      <c r="K470" s="13">
        <f>0.2*B470+0.8*K469</f>
        <v/>
      </c>
      <c r="L470" s="13">
        <f>C470+3*D470*SQRT(0.2/(2-0.2))</f>
        <v/>
      </c>
      <c r="M470" s="13">
        <f>C470-3*D470*SQRT(0.2/(2-0.2))</f>
        <v/>
      </c>
      <c r="N470" s="13">
        <f>MAX(0,N469+(B470-C470-0.5*D470))</f>
        <v/>
      </c>
      <c r="O470" s="13">
        <f>MIN(0,O469+(B470-C470+0.5*D470))</f>
        <v/>
      </c>
      <c r="P470">
        <f>IF(ABS(G470)&gt;1,P469+1,0)</f>
        <v/>
      </c>
      <c r="Q470">
        <f>IFS(OR(ABS(G470)&gt;3,N470&gt;5*D470,ABS(O470)&gt;5*D470,P470&gt;=5),"CRITICAL",OR(ABS(G470)&gt;2,P470&gt;=3,ABS(J470)&gt;3.5),"EARLY WARNING",ABS(G470)&gt;1,"WATCH",TRUE,"NORMAL")</f>
        <v/>
      </c>
    </row>
    <row r="471">
      <c r="A471" s="12" t="n">
        <v>45496</v>
      </c>
      <c r="B471" s="13">
        <f>Raw_Data!B471</f>
        <v/>
      </c>
      <c r="C471" s="13">
        <f>AVERAGE(B442:B471)</f>
        <v/>
      </c>
      <c r="D471" s="13">
        <f>STDEV.S(B442:B471)</f>
        <v/>
      </c>
      <c r="E471" s="13">
        <f>C471+3*D471</f>
        <v/>
      </c>
      <c r="F471" s="13">
        <f>C471-3*D471</f>
        <v/>
      </c>
      <c r="G471" s="15">
        <f>IF(D471=0,"",(B471-C471)/D471)</f>
        <v/>
      </c>
      <c r="H471" s="13">
        <f>MEDIAN(B442:B471)</f>
        <v/>
      </c>
      <c r="I471" s="13">
        <f>MEDIAN(ABS(B442:B471-H471))</f>
        <v/>
      </c>
      <c r="J471" s="15">
        <f>IF(I471=0,"",0.6745*(B471-H471)/I471)</f>
        <v/>
      </c>
      <c r="K471" s="13">
        <f>0.2*B471+0.8*K470</f>
        <v/>
      </c>
      <c r="L471" s="13">
        <f>C471+3*D471*SQRT(0.2/(2-0.2))</f>
        <v/>
      </c>
      <c r="M471" s="13">
        <f>C471-3*D471*SQRT(0.2/(2-0.2))</f>
        <v/>
      </c>
      <c r="N471" s="13">
        <f>MAX(0,N470+(B471-C471-0.5*D471))</f>
        <v/>
      </c>
      <c r="O471" s="13">
        <f>MIN(0,O470+(B471-C471+0.5*D471))</f>
        <v/>
      </c>
      <c r="P471">
        <f>IF(ABS(G471)&gt;1,P470+1,0)</f>
        <v/>
      </c>
      <c r="Q471">
        <f>IFS(OR(ABS(G471)&gt;3,N471&gt;5*D471,ABS(O471)&gt;5*D471,P471&gt;=5),"CRITICAL",OR(ABS(G471)&gt;2,P471&gt;=3,ABS(J471)&gt;3.5),"EARLY WARNING",ABS(G471)&gt;1,"WATCH",TRUE,"NORMAL")</f>
        <v/>
      </c>
    </row>
    <row r="472">
      <c r="A472" s="12" t="n">
        <v>45497</v>
      </c>
      <c r="B472" s="13">
        <f>Raw_Data!B472</f>
        <v/>
      </c>
      <c r="C472" s="13">
        <f>AVERAGE(B443:B472)</f>
        <v/>
      </c>
      <c r="D472" s="13">
        <f>STDEV.S(B443:B472)</f>
        <v/>
      </c>
      <c r="E472" s="13">
        <f>C472+3*D472</f>
        <v/>
      </c>
      <c r="F472" s="13">
        <f>C472-3*D472</f>
        <v/>
      </c>
      <c r="G472" s="15">
        <f>IF(D472=0,"",(B472-C472)/D472)</f>
        <v/>
      </c>
      <c r="H472" s="13">
        <f>MEDIAN(B443:B472)</f>
        <v/>
      </c>
      <c r="I472" s="13">
        <f>MEDIAN(ABS(B443:B472-H472))</f>
        <v/>
      </c>
      <c r="J472" s="15">
        <f>IF(I472=0,"",0.6745*(B472-H472)/I472)</f>
        <v/>
      </c>
      <c r="K472" s="13">
        <f>0.2*B472+0.8*K471</f>
        <v/>
      </c>
      <c r="L472" s="13">
        <f>C472+3*D472*SQRT(0.2/(2-0.2))</f>
        <v/>
      </c>
      <c r="M472" s="13">
        <f>C472-3*D472*SQRT(0.2/(2-0.2))</f>
        <v/>
      </c>
      <c r="N472" s="13">
        <f>MAX(0,N471+(B472-C472-0.5*D472))</f>
        <v/>
      </c>
      <c r="O472" s="13">
        <f>MIN(0,O471+(B472-C472+0.5*D472))</f>
        <v/>
      </c>
      <c r="P472">
        <f>IF(ABS(G472)&gt;1,P471+1,0)</f>
        <v/>
      </c>
      <c r="Q472">
        <f>IFS(OR(ABS(G472)&gt;3,N472&gt;5*D472,ABS(O472)&gt;5*D472,P472&gt;=5),"CRITICAL",OR(ABS(G472)&gt;2,P472&gt;=3,ABS(J472)&gt;3.5),"EARLY WARNING",ABS(G472)&gt;1,"WATCH",TRUE,"NORMAL")</f>
        <v/>
      </c>
    </row>
    <row r="473">
      <c r="A473" s="12" t="n">
        <v>45498</v>
      </c>
      <c r="B473" s="13">
        <f>Raw_Data!B473</f>
        <v/>
      </c>
      <c r="C473" s="13">
        <f>AVERAGE(B444:B473)</f>
        <v/>
      </c>
      <c r="D473" s="13">
        <f>STDEV.S(B444:B473)</f>
        <v/>
      </c>
      <c r="E473" s="13">
        <f>C473+3*D473</f>
        <v/>
      </c>
      <c r="F473" s="13">
        <f>C473-3*D473</f>
        <v/>
      </c>
      <c r="G473" s="15">
        <f>IF(D473=0,"",(B473-C473)/D473)</f>
        <v/>
      </c>
      <c r="H473" s="13">
        <f>MEDIAN(B444:B473)</f>
        <v/>
      </c>
      <c r="I473" s="13">
        <f>MEDIAN(ABS(B444:B473-H473))</f>
        <v/>
      </c>
      <c r="J473" s="15">
        <f>IF(I473=0,"",0.6745*(B473-H473)/I473)</f>
        <v/>
      </c>
      <c r="K473" s="13">
        <f>0.2*B473+0.8*K472</f>
        <v/>
      </c>
      <c r="L473" s="13">
        <f>C473+3*D473*SQRT(0.2/(2-0.2))</f>
        <v/>
      </c>
      <c r="M473" s="13">
        <f>C473-3*D473*SQRT(0.2/(2-0.2))</f>
        <v/>
      </c>
      <c r="N473" s="13">
        <f>MAX(0,N472+(B473-C473-0.5*D473))</f>
        <v/>
      </c>
      <c r="O473" s="13">
        <f>MIN(0,O472+(B473-C473+0.5*D473))</f>
        <v/>
      </c>
      <c r="P473">
        <f>IF(ABS(G473)&gt;1,P472+1,0)</f>
        <v/>
      </c>
      <c r="Q473">
        <f>IFS(OR(ABS(G473)&gt;3,N473&gt;5*D473,ABS(O473)&gt;5*D473,P473&gt;=5),"CRITICAL",OR(ABS(G473)&gt;2,P473&gt;=3,ABS(J473)&gt;3.5),"EARLY WARNING",ABS(G473)&gt;1,"WATCH",TRUE,"NORMAL")</f>
        <v/>
      </c>
    </row>
    <row r="474">
      <c r="A474" s="12" t="n">
        <v>45499</v>
      </c>
      <c r="B474" s="13">
        <f>Raw_Data!B474</f>
        <v/>
      </c>
      <c r="C474" s="13">
        <f>AVERAGE(B445:B474)</f>
        <v/>
      </c>
      <c r="D474" s="13">
        <f>STDEV.S(B445:B474)</f>
        <v/>
      </c>
      <c r="E474" s="13">
        <f>C474+3*D474</f>
        <v/>
      </c>
      <c r="F474" s="13">
        <f>C474-3*D474</f>
        <v/>
      </c>
      <c r="G474" s="15">
        <f>IF(D474=0,"",(B474-C474)/D474)</f>
        <v/>
      </c>
      <c r="H474" s="13">
        <f>MEDIAN(B445:B474)</f>
        <v/>
      </c>
      <c r="I474" s="13">
        <f>MEDIAN(ABS(B445:B474-H474))</f>
        <v/>
      </c>
      <c r="J474" s="15">
        <f>IF(I474=0,"",0.6745*(B474-H474)/I474)</f>
        <v/>
      </c>
      <c r="K474" s="13">
        <f>0.2*B474+0.8*K473</f>
        <v/>
      </c>
      <c r="L474" s="13">
        <f>C474+3*D474*SQRT(0.2/(2-0.2))</f>
        <v/>
      </c>
      <c r="M474" s="13">
        <f>C474-3*D474*SQRT(0.2/(2-0.2))</f>
        <v/>
      </c>
      <c r="N474" s="13">
        <f>MAX(0,N473+(B474-C474-0.5*D474))</f>
        <v/>
      </c>
      <c r="O474" s="13">
        <f>MIN(0,O473+(B474-C474+0.5*D474))</f>
        <v/>
      </c>
      <c r="P474">
        <f>IF(ABS(G474)&gt;1,P473+1,0)</f>
        <v/>
      </c>
      <c r="Q474">
        <f>IFS(OR(ABS(G474)&gt;3,N474&gt;5*D474,ABS(O474)&gt;5*D474,P474&gt;=5),"CRITICAL",OR(ABS(G474)&gt;2,P474&gt;=3,ABS(J474)&gt;3.5),"EARLY WARNING",ABS(G474)&gt;1,"WATCH",TRUE,"NORMAL")</f>
        <v/>
      </c>
    </row>
    <row r="475">
      <c r="A475" s="12" t="n">
        <v>45500</v>
      </c>
      <c r="B475" s="13">
        <f>Raw_Data!B475</f>
        <v/>
      </c>
      <c r="C475" s="13">
        <f>AVERAGE(B446:B475)</f>
        <v/>
      </c>
      <c r="D475" s="13">
        <f>STDEV.S(B446:B475)</f>
        <v/>
      </c>
      <c r="E475" s="13">
        <f>C475+3*D475</f>
        <v/>
      </c>
      <c r="F475" s="13">
        <f>C475-3*D475</f>
        <v/>
      </c>
      <c r="G475" s="15">
        <f>IF(D475=0,"",(B475-C475)/D475)</f>
        <v/>
      </c>
      <c r="H475" s="13">
        <f>MEDIAN(B446:B475)</f>
        <v/>
      </c>
      <c r="I475" s="13">
        <f>MEDIAN(ABS(B446:B475-H475))</f>
        <v/>
      </c>
      <c r="J475" s="15">
        <f>IF(I475=0,"",0.6745*(B475-H475)/I475)</f>
        <v/>
      </c>
      <c r="K475" s="13">
        <f>0.2*B475+0.8*K474</f>
        <v/>
      </c>
      <c r="L475" s="13">
        <f>C475+3*D475*SQRT(0.2/(2-0.2))</f>
        <v/>
      </c>
      <c r="M475" s="13">
        <f>C475-3*D475*SQRT(0.2/(2-0.2))</f>
        <v/>
      </c>
      <c r="N475" s="13">
        <f>MAX(0,N474+(B475-C475-0.5*D475))</f>
        <v/>
      </c>
      <c r="O475" s="13">
        <f>MIN(0,O474+(B475-C475+0.5*D475))</f>
        <v/>
      </c>
      <c r="P475">
        <f>IF(ABS(G475)&gt;1,P474+1,0)</f>
        <v/>
      </c>
      <c r="Q475">
        <f>IFS(OR(ABS(G475)&gt;3,N475&gt;5*D475,ABS(O475)&gt;5*D475,P475&gt;=5),"CRITICAL",OR(ABS(G475)&gt;2,P475&gt;=3,ABS(J475)&gt;3.5),"EARLY WARNING",ABS(G475)&gt;1,"WATCH",TRUE,"NORMAL")</f>
        <v/>
      </c>
    </row>
    <row r="476">
      <c r="A476" s="12" t="n">
        <v>45501</v>
      </c>
      <c r="B476" s="13">
        <f>Raw_Data!B476</f>
        <v/>
      </c>
      <c r="C476" s="13">
        <f>AVERAGE(B447:B476)</f>
        <v/>
      </c>
      <c r="D476" s="13">
        <f>STDEV.S(B447:B476)</f>
        <v/>
      </c>
      <c r="E476" s="13">
        <f>C476+3*D476</f>
        <v/>
      </c>
      <c r="F476" s="13">
        <f>C476-3*D476</f>
        <v/>
      </c>
      <c r="G476" s="15">
        <f>IF(D476=0,"",(B476-C476)/D476)</f>
        <v/>
      </c>
      <c r="H476" s="13">
        <f>MEDIAN(B447:B476)</f>
        <v/>
      </c>
      <c r="I476" s="13">
        <f>MEDIAN(ABS(B447:B476-H476))</f>
        <v/>
      </c>
      <c r="J476" s="15">
        <f>IF(I476=0,"",0.6745*(B476-H476)/I476)</f>
        <v/>
      </c>
      <c r="K476" s="13">
        <f>0.2*B476+0.8*K475</f>
        <v/>
      </c>
      <c r="L476" s="13">
        <f>C476+3*D476*SQRT(0.2/(2-0.2))</f>
        <v/>
      </c>
      <c r="M476" s="13">
        <f>C476-3*D476*SQRT(0.2/(2-0.2))</f>
        <v/>
      </c>
      <c r="N476" s="13">
        <f>MAX(0,N475+(B476-C476-0.5*D476))</f>
        <v/>
      </c>
      <c r="O476" s="13">
        <f>MIN(0,O475+(B476-C476+0.5*D476))</f>
        <v/>
      </c>
      <c r="P476">
        <f>IF(ABS(G476)&gt;1,P475+1,0)</f>
        <v/>
      </c>
      <c r="Q476">
        <f>IFS(OR(ABS(G476)&gt;3,N476&gt;5*D476,ABS(O476)&gt;5*D476,P476&gt;=5),"CRITICAL",OR(ABS(G476)&gt;2,P476&gt;=3,ABS(J476)&gt;3.5),"EARLY WARNING",ABS(G476)&gt;1,"WATCH",TRUE,"NORMAL")</f>
        <v/>
      </c>
    </row>
    <row r="477">
      <c r="A477" s="12" t="n">
        <v>45502</v>
      </c>
      <c r="B477" s="13">
        <f>Raw_Data!B477</f>
        <v/>
      </c>
      <c r="C477" s="13">
        <f>AVERAGE(B448:B477)</f>
        <v/>
      </c>
      <c r="D477" s="13">
        <f>STDEV.S(B448:B477)</f>
        <v/>
      </c>
      <c r="E477" s="13">
        <f>C477+3*D477</f>
        <v/>
      </c>
      <c r="F477" s="13">
        <f>C477-3*D477</f>
        <v/>
      </c>
      <c r="G477" s="15">
        <f>IF(D477=0,"",(B477-C477)/D477)</f>
        <v/>
      </c>
      <c r="H477" s="13">
        <f>MEDIAN(B448:B477)</f>
        <v/>
      </c>
      <c r="I477" s="13">
        <f>MEDIAN(ABS(B448:B477-H477))</f>
        <v/>
      </c>
      <c r="J477" s="15">
        <f>IF(I477=0,"",0.6745*(B477-H477)/I477)</f>
        <v/>
      </c>
      <c r="K477" s="13">
        <f>0.2*B477+0.8*K476</f>
        <v/>
      </c>
      <c r="L477" s="13">
        <f>C477+3*D477*SQRT(0.2/(2-0.2))</f>
        <v/>
      </c>
      <c r="M477" s="13">
        <f>C477-3*D477*SQRT(0.2/(2-0.2))</f>
        <v/>
      </c>
      <c r="N477" s="13">
        <f>MAX(0,N476+(B477-C477-0.5*D477))</f>
        <v/>
      </c>
      <c r="O477" s="13">
        <f>MIN(0,O476+(B477-C477+0.5*D477))</f>
        <v/>
      </c>
      <c r="P477">
        <f>IF(ABS(G477)&gt;1,P476+1,0)</f>
        <v/>
      </c>
      <c r="Q477">
        <f>IFS(OR(ABS(G477)&gt;3,N477&gt;5*D477,ABS(O477)&gt;5*D477,P477&gt;=5),"CRITICAL",OR(ABS(G477)&gt;2,P477&gt;=3,ABS(J477)&gt;3.5),"EARLY WARNING",ABS(G477)&gt;1,"WATCH",TRUE,"NORMAL")</f>
        <v/>
      </c>
    </row>
    <row r="478">
      <c r="A478" s="12" t="n">
        <v>45503</v>
      </c>
      <c r="B478" s="13">
        <f>Raw_Data!B478</f>
        <v/>
      </c>
      <c r="C478" s="13">
        <f>AVERAGE(B449:B478)</f>
        <v/>
      </c>
      <c r="D478" s="13">
        <f>STDEV.S(B449:B478)</f>
        <v/>
      </c>
      <c r="E478" s="13">
        <f>C478+3*D478</f>
        <v/>
      </c>
      <c r="F478" s="13">
        <f>C478-3*D478</f>
        <v/>
      </c>
      <c r="G478" s="15">
        <f>IF(D478=0,"",(B478-C478)/D478)</f>
        <v/>
      </c>
      <c r="H478" s="13">
        <f>MEDIAN(B449:B478)</f>
        <v/>
      </c>
      <c r="I478" s="13">
        <f>MEDIAN(ABS(B449:B478-H478))</f>
        <v/>
      </c>
      <c r="J478" s="15">
        <f>IF(I478=0,"",0.6745*(B478-H478)/I478)</f>
        <v/>
      </c>
      <c r="K478" s="13">
        <f>0.2*B478+0.8*K477</f>
        <v/>
      </c>
      <c r="L478" s="13">
        <f>C478+3*D478*SQRT(0.2/(2-0.2))</f>
        <v/>
      </c>
      <c r="M478" s="13">
        <f>C478-3*D478*SQRT(0.2/(2-0.2))</f>
        <v/>
      </c>
      <c r="N478" s="13">
        <f>MAX(0,N477+(B478-C478-0.5*D478))</f>
        <v/>
      </c>
      <c r="O478" s="13">
        <f>MIN(0,O477+(B478-C478+0.5*D478))</f>
        <v/>
      </c>
      <c r="P478">
        <f>IF(ABS(G478)&gt;1,P477+1,0)</f>
        <v/>
      </c>
      <c r="Q478">
        <f>IFS(OR(ABS(G478)&gt;3,N478&gt;5*D478,ABS(O478)&gt;5*D478,P478&gt;=5),"CRITICAL",OR(ABS(G478)&gt;2,P478&gt;=3,ABS(J478)&gt;3.5),"EARLY WARNING",ABS(G478)&gt;1,"WATCH",TRUE,"NORMAL")</f>
        <v/>
      </c>
    </row>
    <row r="479">
      <c r="A479" s="12" t="n">
        <v>45504</v>
      </c>
      <c r="B479" s="13">
        <f>Raw_Data!B479</f>
        <v/>
      </c>
      <c r="C479" s="13">
        <f>AVERAGE(B450:B479)</f>
        <v/>
      </c>
      <c r="D479" s="13">
        <f>STDEV.S(B450:B479)</f>
        <v/>
      </c>
      <c r="E479" s="13">
        <f>C479+3*D479</f>
        <v/>
      </c>
      <c r="F479" s="13">
        <f>C479-3*D479</f>
        <v/>
      </c>
      <c r="G479" s="15">
        <f>IF(D479=0,"",(B479-C479)/D479)</f>
        <v/>
      </c>
      <c r="H479" s="13">
        <f>MEDIAN(B450:B479)</f>
        <v/>
      </c>
      <c r="I479" s="13">
        <f>MEDIAN(ABS(B450:B479-H479))</f>
        <v/>
      </c>
      <c r="J479" s="15">
        <f>IF(I479=0,"",0.6745*(B479-H479)/I479)</f>
        <v/>
      </c>
      <c r="K479" s="13">
        <f>0.2*B479+0.8*K478</f>
        <v/>
      </c>
      <c r="L479" s="13">
        <f>C479+3*D479*SQRT(0.2/(2-0.2))</f>
        <v/>
      </c>
      <c r="M479" s="13">
        <f>C479-3*D479*SQRT(0.2/(2-0.2))</f>
        <v/>
      </c>
      <c r="N479" s="13">
        <f>MAX(0,N478+(B479-C479-0.5*D479))</f>
        <v/>
      </c>
      <c r="O479" s="13">
        <f>MIN(0,O478+(B479-C479+0.5*D479))</f>
        <v/>
      </c>
      <c r="P479">
        <f>IF(ABS(G479)&gt;1,P478+1,0)</f>
        <v/>
      </c>
      <c r="Q479">
        <f>IFS(OR(ABS(G479)&gt;3,N479&gt;5*D479,ABS(O479)&gt;5*D479,P479&gt;=5),"CRITICAL",OR(ABS(G479)&gt;2,P479&gt;=3,ABS(J479)&gt;3.5),"EARLY WARNING",ABS(G479)&gt;1,"WATCH",TRUE,"NORMAL")</f>
        <v/>
      </c>
    </row>
    <row r="480">
      <c r="A480" s="12" t="n">
        <v>45505</v>
      </c>
      <c r="B480" s="13">
        <f>Raw_Data!B480</f>
        <v/>
      </c>
      <c r="C480" s="13">
        <f>AVERAGE(B451:B480)</f>
        <v/>
      </c>
      <c r="D480" s="13">
        <f>STDEV.S(B451:B480)</f>
        <v/>
      </c>
      <c r="E480" s="13">
        <f>C480+3*D480</f>
        <v/>
      </c>
      <c r="F480" s="13">
        <f>C480-3*D480</f>
        <v/>
      </c>
      <c r="G480" s="15">
        <f>IF(D480=0,"",(B480-C480)/D480)</f>
        <v/>
      </c>
      <c r="H480" s="13">
        <f>MEDIAN(B451:B480)</f>
        <v/>
      </c>
      <c r="I480" s="13">
        <f>MEDIAN(ABS(B451:B480-H480))</f>
        <v/>
      </c>
      <c r="J480" s="15">
        <f>IF(I480=0,"",0.6745*(B480-H480)/I480)</f>
        <v/>
      </c>
      <c r="K480" s="13">
        <f>0.2*B480+0.8*K479</f>
        <v/>
      </c>
      <c r="L480" s="13">
        <f>C480+3*D480*SQRT(0.2/(2-0.2))</f>
        <v/>
      </c>
      <c r="M480" s="13">
        <f>C480-3*D480*SQRT(0.2/(2-0.2))</f>
        <v/>
      </c>
      <c r="N480" s="13">
        <f>MAX(0,N479+(B480-C480-0.5*D480))</f>
        <v/>
      </c>
      <c r="O480" s="13">
        <f>MIN(0,O479+(B480-C480+0.5*D480))</f>
        <v/>
      </c>
      <c r="P480">
        <f>IF(ABS(G480)&gt;1,P479+1,0)</f>
        <v/>
      </c>
      <c r="Q480">
        <f>IFS(OR(ABS(G480)&gt;3,N480&gt;5*D480,ABS(O480)&gt;5*D480,P480&gt;=5),"CRITICAL",OR(ABS(G480)&gt;2,P480&gt;=3,ABS(J480)&gt;3.5),"EARLY WARNING",ABS(G480)&gt;1,"WATCH",TRUE,"NORMAL")</f>
        <v/>
      </c>
    </row>
    <row r="481">
      <c r="A481" s="12" t="n">
        <v>45506</v>
      </c>
      <c r="B481" s="13">
        <f>Raw_Data!B481</f>
        <v/>
      </c>
      <c r="C481" s="13">
        <f>AVERAGE(B452:B481)</f>
        <v/>
      </c>
      <c r="D481" s="13">
        <f>STDEV.S(B452:B481)</f>
        <v/>
      </c>
      <c r="E481" s="13">
        <f>C481+3*D481</f>
        <v/>
      </c>
      <c r="F481" s="13">
        <f>C481-3*D481</f>
        <v/>
      </c>
      <c r="G481" s="15">
        <f>IF(D481=0,"",(B481-C481)/D481)</f>
        <v/>
      </c>
      <c r="H481" s="13">
        <f>MEDIAN(B452:B481)</f>
        <v/>
      </c>
      <c r="I481" s="13">
        <f>MEDIAN(ABS(B452:B481-H481))</f>
        <v/>
      </c>
      <c r="J481" s="15">
        <f>IF(I481=0,"",0.6745*(B481-H481)/I481)</f>
        <v/>
      </c>
      <c r="K481" s="13">
        <f>0.2*B481+0.8*K480</f>
        <v/>
      </c>
      <c r="L481" s="13">
        <f>C481+3*D481*SQRT(0.2/(2-0.2))</f>
        <v/>
      </c>
      <c r="M481" s="13">
        <f>C481-3*D481*SQRT(0.2/(2-0.2))</f>
        <v/>
      </c>
      <c r="N481" s="13">
        <f>MAX(0,N480+(B481-C481-0.5*D481))</f>
        <v/>
      </c>
      <c r="O481" s="13">
        <f>MIN(0,O480+(B481-C481+0.5*D481))</f>
        <v/>
      </c>
      <c r="P481">
        <f>IF(ABS(G481)&gt;1,P480+1,0)</f>
        <v/>
      </c>
      <c r="Q481">
        <f>IFS(OR(ABS(G481)&gt;3,N481&gt;5*D481,ABS(O481)&gt;5*D481,P481&gt;=5),"CRITICAL",OR(ABS(G481)&gt;2,P481&gt;=3,ABS(J481)&gt;3.5),"EARLY WARNING",ABS(G481)&gt;1,"WATCH",TRUE,"NORMAL")</f>
        <v/>
      </c>
    </row>
    <row r="482">
      <c r="A482" s="12" t="n">
        <v>45507</v>
      </c>
      <c r="B482" s="13">
        <f>Raw_Data!B482</f>
        <v/>
      </c>
      <c r="C482" s="13">
        <f>AVERAGE(B453:B482)</f>
        <v/>
      </c>
      <c r="D482" s="13">
        <f>STDEV.S(B453:B482)</f>
        <v/>
      </c>
      <c r="E482" s="13">
        <f>C482+3*D482</f>
        <v/>
      </c>
      <c r="F482" s="13">
        <f>C482-3*D482</f>
        <v/>
      </c>
      <c r="G482" s="15">
        <f>IF(D482=0,"",(B482-C482)/D482)</f>
        <v/>
      </c>
      <c r="H482" s="13">
        <f>MEDIAN(B453:B482)</f>
        <v/>
      </c>
      <c r="I482" s="13">
        <f>MEDIAN(ABS(B453:B482-H482))</f>
        <v/>
      </c>
      <c r="J482" s="15">
        <f>IF(I482=0,"",0.6745*(B482-H482)/I482)</f>
        <v/>
      </c>
      <c r="K482" s="13">
        <f>0.2*B482+0.8*K481</f>
        <v/>
      </c>
      <c r="L482" s="13">
        <f>C482+3*D482*SQRT(0.2/(2-0.2))</f>
        <v/>
      </c>
      <c r="M482" s="13">
        <f>C482-3*D482*SQRT(0.2/(2-0.2))</f>
        <v/>
      </c>
      <c r="N482" s="13">
        <f>MAX(0,N481+(B482-C482-0.5*D482))</f>
        <v/>
      </c>
      <c r="O482" s="13">
        <f>MIN(0,O481+(B482-C482+0.5*D482))</f>
        <v/>
      </c>
      <c r="P482">
        <f>IF(ABS(G482)&gt;1,P481+1,0)</f>
        <v/>
      </c>
      <c r="Q482">
        <f>IFS(OR(ABS(G482)&gt;3,N482&gt;5*D482,ABS(O482)&gt;5*D482,P482&gt;=5),"CRITICAL",OR(ABS(G482)&gt;2,P482&gt;=3,ABS(J482)&gt;3.5),"EARLY WARNING",ABS(G482)&gt;1,"WATCH",TRUE,"NORMAL")</f>
        <v/>
      </c>
    </row>
    <row r="483">
      <c r="A483" s="12" t="n">
        <v>45508</v>
      </c>
      <c r="B483" s="13">
        <f>Raw_Data!B483</f>
        <v/>
      </c>
      <c r="C483" s="13">
        <f>AVERAGE(B454:B483)</f>
        <v/>
      </c>
      <c r="D483" s="13">
        <f>STDEV.S(B454:B483)</f>
        <v/>
      </c>
      <c r="E483" s="13">
        <f>C483+3*D483</f>
        <v/>
      </c>
      <c r="F483" s="13">
        <f>C483-3*D483</f>
        <v/>
      </c>
      <c r="G483" s="15">
        <f>IF(D483=0,"",(B483-C483)/D483)</f>
        <v/>
      </c>
      <c r="H483" s="13">
        <f>MEDIAN(B454:B483)</f>
        <v/>
      </c>
      <c r="I483" s="13">
        <f>MEDIAN(ABS(B454:B483-H483))</f>
        <v/>
      </c>
      <c r="J483" s="15">
        <f>IF(I483=0,"",0.6745*(B483-H483)/I483)</f>
        <v/>
      </c>
      <c r="K483" s="13">
        <f>0.2*B483+0.8*K482</f>
        <v/>
      </c>
      <c r="L483" s="13">
        <f>C483+3*D483*SQRT(0.2/(2-0.2))</f>
        <v/>
      </c>
      <c r="M483" s="13">
        <f>C483-3*D483*SQRT(0.2/(2-0.2))</f>
        <v/>
      </c>
      <c r="N483" s="13">
        <f>MAX(0,N482+(B483-C483-0.5*D483))</f>
        <v/>
      </c>
      <c r="O483" s="13">
        <f>MIN(0,O482+(B483-C483+0.5*D483))</f>
        <v/>
      </c>
      <c r="P483">
        <f>IF(ABS(G483)&gt;1,P482+1,0)</f>
        <v/>
      </c>
      <c r="Q483">
        <f>IFS(OR(ABS(G483)&gt;3,N483&gt;5*D483,ABS(O483)&gt;5*D483,P483&gt;=5),"CRITICAL",OR(ABS(G483)&gt;2,P483&gt;=3,ABS(J483)&gt;3.5),"EARLY WARNING",ABS(G483)&gt;1,"WATCH",TRUE,"NORMAL")</f>
        <v/>
      </c>
    </row>
    <row r="484">
      <c r="A484" s="12" t="n">
        <v>45509</v>
      </c>
      <c r="B484" s="13">
        <f>Raw_Data!B484</f>
        <v/>
      </c>
      <c r="C484" s="13">
        <f>AVERAGE(B455:B484)</f>
        <v/>
      </c>
      <c r="D484" s="13">
        <f>STDEV.S(B455:B484)</f>
        <v/>
      </c>
      <c r="E484" s="13">
        <f>C484+3*D484</f>
        <v/>
      </c>
      <c r="F484" s="13">
        <f>C484-3*D484</f>
        <v/>
      </c>
      <c r="G484" s="15">
        <f>IF(D484=0,"",(B484-C484)/D484)</f>
        <v/>
      </c>
      <c r="H484" s="13">
        <f>MEDIAN(B455:B484)</f>
        <v/>
      </c>
      <c r="I484" s="13">
        <f>MEDIAN(ABS(B455:B484-H484))</f>
        <v/>
      </c>
      <c r="J484" s="15">
        <f>IF(I484=0,"",0.6745*(B484-H484)/I484)</f>
        <v/>
      </c>
      <c r="K484" s="13">
        <f>0.2*B484+0.8*K483</f>
        <v/>
      </c>
      <c r="L484" s="13">
        <f>C484+3*D484*SQRT(0.2/(2-0.2))</f>
        <v/>
      </c>
      <c r="M484" s="13">
        <f>C484-3*D484*SQRT(0.2/(2-0.2))</f>
        <v/>
      </c>
      <c r="N484" s="13">
        <f>MAX(0,N483+(B484-C484-0.5*D484))</f>
        <v/>
      </c>
      <c r="O484" s="13">
        <f>MIN(0,O483+(B484-C484+0.5*D484))</f>
        <v/>
      </c>
      <c r="P484">
        <f>IF(ABS(G484)&gt;1,P483+1,0)</f>
        <v/>
      </c>
      <c r="Q484">
        <f>IFS(OR(ABS(G484)&gt;3,N484&gt;5*D484,ABS(O484)&gt;5*D484,P484&gt;=5),"CRITICAL",OR(ABS(G484)&gt;2,P484&gt;=3,ABS(J484)&gt;3.5),"EARLY WARNING",ABS(G484)&gt;1,"WATCH",TRUE,"NORMAL")</f>
        <v/>
      </c>
    </row>
    <row r="485">
      <c r="A485" s="12" t="n">
        <v>45510</v>
      </c>
      <c r="B485" s="13">
        <f>Raw_Data!B485</f>
        <v/>
      </c>
      <c r="C485" s="13">
        <f>AVERAGE(B456:B485)</f>
        <v/>
      </c>
      <c r="D485" s="13">
        <f>STDEV.S(B456:B485)</f>
        <v/>
      </c>
      <c r="E485" s="13">
        <f>C485+3*D485</f>
        <v/>
      </c>
      <c r="F485" s="13">
        <f>C485-3*D485</f>
        <v/>
      </c>
      <c r="G485" s="15">
        <f>IF(D485=0,"",(B485-C485)/D485)</f>
        <v/>
      </c>
      <c r="H485" s="13">
        <f>MEDIAN(B456:B485)</f>
        <v/>
      </c>
      <c r="I485" s="13">
        <f>MEDIAN(ABS(B456:B485-H485))</f>
        <v/>
      </c>
      <c r="J485" s="15">
        <f>IF(I485=0,"",0.6745*(B485-H485)/I485)</f>
        <v/>
      </c>
      <c r="K485" s="13">
        <f>0.2*B485+0.8*K484</f>
        <v/>
      </c>
      <c r="L485" s="13">
        <f>C485+3*D485*SQRT(0.2/(2-0.2))</f>
        <v/>
      </c>
      <c r="M485" s="13">
        <f>C485-3*D485*SQRT(0.2/(2-0.2))</f>
        <v/>
      </c>
      <c r="N485" s="13">
        <f>MAX(0,N484+(B485-C485-0.5*D485))</f>
        <v/>
      </c>
      <c r="O485" s="13">
        <f>MIN(0,O484+(B485-C485+0.5*D485))</f>
        <v/>
      </c>
      <c r="P485">
        <f>IF(ABS(G485)&gt;1,P484+1,0)</f>
        <v/>
      </c>
      <c r="Q485">
        <f>IFS(OR(ABS(G485)&gt;3,N485&gt;5*D485,ABS(O485)&gt;5*D485,P485&gt;=5),"CRITICAL",OR(ABS(G485)&gt;2,P485&gt;=3,ABS(J485)&gt;3.5),"EARLY WARNING",ABS(G485)&gt;1,"WATCH",TRUE,"NORMAL")</f>
        <v/>
      </c>
    </row>
    <row r="486">
      <c r="A486" s="12" t="n">
        <v>45511</v>
      </c>
      <c r="B486" s="13">
        <f>Raw_Data!B486</f>
        <v/>
      </c>
      <c r="C486" s="13">
        <f>AVERAGE(B457:B486)</f>
        <v/>
      </c>
      <c r="D486" s="13">
        <f>STDEV.S(B457:B486)</f>
        <v/>
      </c>
      <c r="E486" s="13">
        <f>C486+3*D486</f>
        <v/>
      </c>
      <c r="F486" s="13">
        <f>C486-3*D486</f>
        <v/>
      </c>
      <c r="G486" s="15">
        <f>IF(D486=0,"",(B486-C486)/D486)</f>
        <v/>
      </c>
      <c r="H486" s="13">
        <f>MEDIAN(B457:B486)</f>
        <v/>
      </c>
      <c r="I486" s="13">
        <f>MEDIAN(ABS(B457:B486-H486))</f>
        <v/>
      </c>
      <c r="J486" s="15">
        <f>IF(I486=0,"",0.6745*(B486-H486)/I486)</f>
        <v/>
      </c>
      <c r="K486" s="13">
        <f>0.2*B486+0.8*K485</f>
        <v/>
      </c>
      <c r="L486" s="13">
        <f>C486+3*D486*SQRT(0.2/(2-0.2))</f>
        <v/>
      </c>
      <c r="M486" s="13">
        <f>C486-3*D486*SQRT(0.2/(2-0.2))</f>
        <v/>
      </c>
      <c r="N486" s="13">
        <f>MAX(0,N485+(B486-C486-0.5*D486))</f>
        <v/>
      </c>
      <c r="O486" s="13">
        <f>MIN(0,O485+(B486-C486+0.5*D486))</f>
        <v/>
      </c>
      <c r="P486">
        <f>IF(ABS(G486)&gt;1,P485+1,0)</f>
        <v/>
      </c>
      <c r="Q486">
        <f>IFS(OR(ABS(G486)&gt;3,N486&gt;5*D486,ABS(O486)&gt;5*D486,P486&gt;=5),"CRITICAL",OR(ABS(G486)&gt;2,P486&gt;=3,ABS(J486)&gt;3.5),"EARLY WARNING",ABS(G486)&gt;1,"WATCH",TRUE,"NORMAL")</f>
        <v/>
      </c>
    </row>
    <row r="487">
      <c r="A487" s="12" t="n">
        <v>45512</v>
      </c>
      <c r="B487" s="13">
        <f>Raw_Data!B487</f>
        <v/>
      </c>
      <c r="C487" s="13">
        <f>AVERAGE(B458:B487)</f>
        <v/>
      </c>
      <c r="D487" s="13">
        <f>STDEV.S(B458:B487)</f>
        <v/>
      </c>
      <c r="E487" s="13">
        <f>C487+3*D487</f>
        <v/>
      </c>
      <c r="F487" s="13">
        <f>C487-3*D487</f>
        <v/>
      </c>
      <c r="G487" s="15">
        <f>IF(D487=0,"",(B487-C487)/D487)</f>
        <v/>
      </c>
      <c r="H487" s="13">
        <f>MEDIAN(B458:B487)</f>
        <v/>
      </c>
      <c r="I487" s="13">
        <f>MEDIAN(ABS(B458:B487-H487))</f>
        <v/>
      </c>
      <c r="J487" s="15">
        <f>IF(I487=0,"",0.6745*(B487-H487)/I487)</f>
        <v/>
      </c>
      <c r="K487" s="13">
        <f>0.2*B487+0.8*K486</f>
        <v/>
      </c>
      <c r="L487" s="13">
        <f>C487+3*D487*SQRT(0.2/(2-0.2))</f>
        <v/>
      </c>
      <c r="M487" s="13">
        <f>C487-3*D487*SQRT(0.2/(2-0.2))</f>
        <v/>
      </c>
      <c r="N487" s="13">
        <f>MAX(0,N486+(B487-C487-0.5*D487))</f>
        <v/>
      </c>
      <c r="O487" s="13">
        <f>MIN(0,O486+(B487-C487+0.5*D487))</f>
        <v/>
      </c>
      <c r="P487">
        <f>IF(ABS(G487)&gt;1,P486+1,0)</f>
        <v/>
      </c>
      <c r="Q487">
        <f>IFS(OR(ABS(G487)&gt;3,N487&gt;5*D487,ABS(O487)&gt;5*D487,P487&gt;=5),"CRITICAL",OR(ABS(G487)&gt;2,P487&gt;=3,ABS(J487)&gt;3.5),"EARLY WARNING",ABS(G487)&gt;1,"WATCH",TRUE,"NORMAL")</f>
        <v/>
      </c>
    </row>
    <row r="488">
      <c r="A488" s="12" t="n">
        <v>45513</v>
      </c>
      <c r="B488" s="13">
        <f>Raw_Data!B488</f>
        <v/>
      </c>
      <c r="C488" s="13">
        <f>AVERAGE(B459:B488)</f>
        <v/>
      </c>
      <c r="D488" s="13">
        <f>STDEV.S(B459:B488)</f>
        <v/>
      </c>
      <c r="E488" s="13">
        <f>C488+3*D488</f>
        <v/>
      </c>
      <c r="F488" s="13">
        <f>C488-3*D488</f>
        <v/>
      </c>
      <c r="G488" s="15">
        <f>IF(D488=0,"",(B488-C488)/D488)</f>
        <v/>
      </c>
      <c r="H488" s="13">
        <f>MEDIAN(B459:B488)</f>
        <v/>
      </c>
      <c r="I488" s="13">
        <f>MEDIAN(ABS(B459:B488-H488))</f>
        <v/>
      </c>
      <c r="J488" s="15">
        <f>IF(I488=0,"",0.6745*(B488-H488)/I488)</f>
        <v/>
      </c>
      <c r="K488" s="13">
        <f>0.2*B488+0.8*K487</f>
        <v/>
      </c>
      <c r="L488" s="13">
        <f>C488+3*D488*SQRT(0.2/(2-0.2))</f>
        <v/>
      </c>
      <c r="M488" s="13">
        <f>C488-3*D488*SQRT(0.2/(2-0.2))</f>
        <v/>
      </c>
      <c r="N488" s="13">
        <f>MAX(0,N487+(B488-C488-0.5*D488))</f>
        <v/>
      </c>
      <c r="O488" s="13">
        <f>MIN(0,O487+(B488-C488+0.5*D488))</f>
        <v/>
      </c>
      <c r="P488">
        <f>IF(ABS(G488)&gt;1,P487+1,0)</f>
        <v/>
      </c>
      <c r="Q488">
        <f>IFS(OR(ABS(G488)&gt;3,N488&gt;5*D488,ABS(O488)&gt;5*D488,P488&gt;=5),"CRITICAL",OR(ABS(G488)&gt;2,P488&gt;=3,ABS(J488)&gt;3.5),"EARLY WARNING",ABS(G488)&gt;1,"WATCH",TRUE,"NORMAL")</f>
        <v/>
      </c>
    </row>
    <row r="489">
      <c r="A489" s="12" t="n">
        <v>45514</v>
      </c>
      <c r="B489" s="13">
        <f>Raw_Data!B489</f>
        <v/>
      </c>
      <c r="C489" s="13">
        <f>AVERAGE(B460:B489)</f>
        <v/>
      </c>
      <c r="D489" s="13">
        <f>STDEV.S(B460:B489)</f>
        <v/>
      </c>
      <c r="E489" s="13">
        <f>C489+3*D489</f>
        <v/>
      </c>
      <c r="F489" s="13">
        <f>C489-3*D489</f>
        <v/>
      </c>
      <c r="G489" s="15">
        <f>IF(D489=0,"",(B489-C489)/D489)</f>
        <v/>
      </c>
      <c r="H489" s="13">
        <f>MEDIAN(B460:B489)</f>
        <v/>
      </c>
      <c r="I489" s="13">
        <f>MEDIAN(ABS(B460:B489-H489))</f>
        <v/>
      </c>
      <c r="J489" s="15">
        <f>IF(I489=0,"",0.6745*(B489-H489)/I489)</f>
        <v/>
      </c>
      <c r="K489" s="13">
        <f>0.2*B489+0.8*K488</f>
        <v/>
      </c>
      <c r="L489" s="13">
        <f>C489+3*D489*SQRT(0.2/(2-0.2))</f>
        <v/>
      </c>
      <c r="M489" s="13">
        <f>C489-3*D489*SQRT(0.2/(2-0.2))</f>
        <v/>
      </c>
      <c r="N489" s="13">
        <f>MAX(0,N488+(B489-C489-0.5*D489))</f>
        <v/>
      </c>
      <c r="O489" s="13">
        <f>MIN(0,O488+(B489-C489+0.5*D489))</f>
        <v/>
      </c>
      <c r="P489">
        <f>IF(ABS(G489)&gt;1,P488+1,0)</f>
        <v/>
      </c>
      <c r="Q489">
        <f>IFS(OR(ABS(G489)&gt;3,N489&gt;5*D489,ABS(O489)&gt;5*D489,P489&gt;=5),"CRITICAL",OR(ABS(G489)&gt;2,P489&gt;=3,ABS(J489)&gt;3.5),"EARLY WARNING",ABS(G489)&gt;1,"WATCH",TRUE,"NORMAL")</f>
        <v/>
      </c>
    </row>
    <row r="490">
      <c r="A490" s="12" t="n">
        <v>45515</v>
      </c>
      <c r="B490" s="13">
        <f>Raw_Data!B490</f>
        <v/>
      </c>
      <c r="C490" s="13">
        <f>AVERAGE(B461:B490)</f>
        <v/>
      </c>
      <c r="D490" s="13">
        <f>STDEV.S(B461:B490)</f>
        <v/>
      </c>
      <c r="E490" s="13">
        <f>C490+3*D490</f>
        <v/>
      </c>
      <c r="F490" s="13">
        <f>C490-3*D490</f>
        <v/>
      </c>
      <c r="G490" s="15">
        <f>IF(D490=0,"",(B490-C490)/D490)</f>
        <v/>
      </c>
      <c r="H490" s="13">
        <f>MEDIAN(B461:B490)</f>
        <v/>
      </c>
      <c r="I490" s="13">
        <f>MEDIAN(ABS(B461:B490-H490))</f>
        <v/>
      </c>
      <c r="J490" s="15">
        <f>IF(I490=0,"",0.6745*(B490-H490)/I490)</f>
        <v/>
      </c>
      <c r="K490" s="13">
        <f>0.2*B490+0.8*K489</f>
        <v/>
      </c>
      <c r="L490" s="13">
        <f>C490+3*D490*SQRT(0.2/(2-0.2))</f>
        <v/>
      </c>
      <c r="M490" s="13">
        <f>C490-3*D490*SQRT(0.2/(2-0.2))</f>
        <v/>
      </c>
      <c r="N490" s="13">
        <f>MAX(0,N489+(B490-C490-0.5*D490))</f>
        <v/>
      </c>
      <c r="O490" s="13">
        <f>MIN(0,O489+(B490-C490+0.5*D490))</f>
        <v/>
      </c>
      <c r="P490">
        <f>IF(ABS(G490)&gt;1,P489+1,0)</f>
        <v/>
      </c>
      <c r="Q490">
        <f>IFS(OR(ABS(G490)&gt;3,N490&gt;5*D490,ABS(O490)&gt;5*D490,P490&gt;=5),"CRITICAL",OR(ABS(G490)&gt;2,P490&gt;=3,ABS(J490)&gt;3.5),"EARLY WARNING",ABS(G490)&gt;1,"WATCH",TRUE,"NORMAL")</f>
        <v/>
      </c>
    </row>
    <row r="491">
      <c r="A491" s="12" t="n">
        <v>45516</v>
      </c>
      <c r="B491" s="13">
        <f>Raw_Data!B491</f>
        <v/>
      </c>
      <c r="C491" s="13">
        <f>AVERAGE(B462:B491)</f>
        <v/>
      </c>
      <c r="D491" s="13">
        <f>STDEV.S(B462:B491)</f>
        <v/>
      </c>
      <c r="E491" s="13">
        <f>C491+3*D491</f>
        <v/>
      </c>
      <c r="F491" s="13">
        <f>C491-3*D491</f>
        <v/>
      </c>
      <c r="G491" s="15">
        <f>IF(D491=0,"",(B491-C491)/D491)</f>
        <v/>
      </c>
      <c r="H491" s="13">
        <f>MEDIAN(B462:B491)</f>
        <v/>
      </c>
      <c r="I491" s="13">
        <f>MEDIAN(ABS(B462:B491-H491))</f>
        <v/>
      </c>
      <c r="J491" s="15">
        <f>IF(I491=0,"",0.6745*(B491-H491)/I491)</f>
        <v/>
      </c>
      <c r="K491" s="13">
        <f>0.2*B491+0.8*K490</f>
        <v/>
      </c>
      <c r="L491" s="13">
        <f>C491+3*D491*SQRT(0.2/(2-0.2))</f>
        <v/>
      </c>
      <c r="M491" s="13">
        <f>C491-3*D491*SQRT(0.2/(2-0.2))</f>
        <v/>
      </c>
      <c r="N491" s="13">
        <f>MAX(0,N490+(B491-C491-0.5*D491))</f>
        <v/>
      </c>
      <c r="O491" s="13">
        <f>MIN(0,O490+(B491-C491+0.5*D491))</f>
        <v/>
      </c>
      <c r="P491">
        <f>IF(ABS(G491)&gt;1,P490+1,0)</f>
        <v/>
      </c>
      <c r="Q491">
        <f>IFS(OR(ABS(G491)&gt;3,N491&gt;5*D491,ABS(O491)&gt;5*D491,P491&gt;=5),"CRITICAL",OR(ABS(G491)&gt;2,P491&gt;=3,ABS(J491)&gt;3.5),"EARLY WARNING",ABS(G491)&gt;1,"WATCH",TRUE,"NORMAL")</f>
        <v/>
      </c>
    </row>
    <row r="492">
      <c r="A492" s="12" t="n">
        <v>45517</v>
      </c>
      <c r="B492" s="13">
        <f>Raw_Data!B492</f>
        <v/>
      </c>
      <c r="C492" s="13">
        <f>AVERAGE(B463:B492)</f>
        <v/>
      </c>
      <c r="D492" s="13">
        <f>STDEV.S(B463:B492)</f>
        <v/>
      </c>
      <c r="E492" s="13">
        <f>C492+3*D492</f>
        <v/>
      </c>
      <c r="F492" s="13">
        <f>C492-3*D492</f>
        <v/>
      </c>
      <c r="G492" s="15">
        <f>IF(D492=0,"",(B492-C492)/D492)</f>
        <v/>
      </c>
      <c r="H492" s="13">
        <f>MEDIAN(B463:B492)</f>
        <v/>
      </c>
      <c r="I492" s="13">
        <f>MEDIAN(ABS(B463:B492-H492))</f>
        <v/>
      </c>
      <c r="J492" s="15">
        <f>IF(I492=0,"",0.6745*(B492-H492)/I492)</f>
        <v/>
      </c>
      <c r="K492" s="13">
        <f>0.2*B492+0.8*K491</f>
        <v/>
      </c>
      <c r="L492" s="13">
        <f>C492+3*D492*SQRT(0.2/(2-0.2))</f>
        <v/>
      </c>
      <c r="M492" s="13">
        <f>C492-3*D492*SQRT(0.2/(2-0.2))</f>
        <v/>
      </c>
      <c r="N492" s="13">
        <f>MAX(0,N491+(B492-C492-0.5*D492))</f>
        <v/>
      </c>
      <c r="O492" s="13">
        <f>MIN(0,O491+(B492-C492+0.5*D492))</f>
        <v/>
      </c>
      <c r="P492">
        <f>IF(ABS(G492)&gt;1,P491+1,0)</f>
        <v/>
      </c>
      <c r="Q492">
        <f>IFS(OR(ABS(G492)&gt;3,N492&gt;5*D492,ABS(O492)&gt;5*D492,P492&gt;=5),"CRITICAL",OR(ABS(G492)&gt;2,P492&gt;=3,ABS(J492)&gt;3.5),"EARLY WARNING",ABS(G492)&gt;1,"WATCH",TRUE,"NORMAL")</f>
        <v/>
      </c>
    </row>
    <row r="493">
      <c r="A493" s="12" t="n">
        <v>45518</v>
      </c>
      <c r="B493" s="13">
        <f>Raw_Data!B493</f>
        <v/>
      </c>
      <c r="C493" s="13">
        <f>AVERAGE(B464:B493)</f>
        <v/>
      </c>
      <c r="D493" s="13">
        <f>STDEV.S(B464:B493)</f>
        <v/>
      </c>
      <c r="E493" s="13">
        <f>C493+3*D493</f>
        <v/>
      </c>
      <c r="F493" s="13">
        <f>C493-3*D493</f>
        <v/>
      </c>
      <c r="G493" s="15">
        <f>IF(D493=0,"",(B493-C493)/D493)</f>
        <v/>
      </c>
      <c r="H493" s="13">
        <f>MEDIAN(B464:B493)</f>
        <v/>
      </c>
      <c r="I493" s="13">
        <f>MEDIAN(ABS(B464:B493-H493))</f>
        <v/>
      </c>
      <c r="J493" s="15">
        <f>IF(I493=0,"",0.6745*(B493-H493)/I493)</f>
        <v/>
      </c>
      <c r="K493" s="13">
        <f>0.2*B493+0.8*K492</f>
        <v/>
      </c>
      <c r="L493" s="13">
        <f>C493+3*D493*SQRT(0.2/(2-0.2))</f>
        <v/>
      </c>
      <c r="M493" s="13">
        <f>C493-3*D493*SQRT(0.2/(2-0.2))</f>
        <v/>
      </c>
      <c r="N493" s="13">
        <f>MAX(0,N492+(B493-C493-0.5*D493))</f>
        <v/>
      </c>
      <c r="O493" s="13">
        <f>MIN(0,O492+(B493-C493+0.5*D493))</f>
        <v/>
      </c>
      <c r="P493">
        <f>IF(ABS(G493)&gt;1,P492+1,0)</f>
        <v/>
      </c>
      <c r="Q493">
        <f>IFS(OR(ABS(G493)&gt;3,N493&gt;5*D493,ABS(O493)&gt;5*D493,P493&gt;=5),"CRITICAL",OR(ABS(G493)&gt;2,P493&gt;=3,ABS(J493)&gt;3.5),"EARLY WARNING",ABS(G493)&gt;1,"WATCH",TRUE,"NORMAL")</f>
        <v/>
      </c>
    </row>
    <row r="494">
      <c r="A494" s="12" t="n">
        <v>45519</v>
      </c>
      <c r="B494" s="13">
        <f>Raw_Data!B494</f>
        <v/>
      </c>
      <c r="C494" s="13">
        <f>AVERAGE(B465:B494)</f>
        <v/>
      </c>
      <c r="D494" s="13">
        <f>STDEV.S(B465:B494)</f>
        <v/>
      </c>
      <c r="E494" s="13">
        <f>C494+3*D494</f>
        <v/>
      </c>
      <c r="F494" s="13">
        <f>C494-3*D494</f>
        <v/>
      </c>
      <c r="G494" s="15">
        <f>IF(D494=0,"",(B494-C494)/D494)</f>
        <v/>
      </c>
      <c r="H494" s="13">
        <f>MEDIAN(B465:B494)</f>
        <v/>
      </c>
      <c r="I494" s="13">
        <f>MEDIAN(ABS(B465:B494-H494))</f>
        <v/>
      </c>
      <c r="J494" s="15">
        <f>IF(I494=0,"",0.6745*(B494-H494)/I494)</f>
        <v/>
      </c>
      <c r="K494" s="13">
        <f>0.2*B494+0.8*K493</f>
        <v/>
      </c>
      <c r="L494" s="13">
        <f>C494+3*D494*SQRT(0.2/(2-0.2))</f>
        <v/>
      </c>
      <c r="M494" s="13">
        <f>C494-3*D494*SQRT(0.2/(2-0.2))</f>
        <v/>
      </c>
      <c r="N494" s="13">
        <f>MAX(0,N493+(B494-C494-0.5*D494))</f>
        <v/>
      </c>
      <c r="O494" s="13">
        <f>MIN(0,O493+(B494-C494+0.5*D494))</f>
        <v/>
      </c>
      <c r="P494">
        <f>IF(ABS(G494)&gt;1,P493+1,0)</f>
        <v/>
      </c>
      <c r="Q494">
        <f>IFS(OR(ABS(G494)&gt;3,N494&gt;5*D494,ABS(O494)&gt;5*D494,P494&gt;=5),"CRITICAL",OR(ABS(G494)&gt;2,P494&gt;=3,ABS(J494)&gt;3.5),"EARLY WARNING",ABS(G494)&gt;1,"WATCH",TRUE,"NORMAL")</f>
        <v/>
      </c>
    </row>
    <row r="495">
      <c r="A495" s="12" t="n">
        <v>45520</v>
      </c>
      <c r="B495" s="13">
        <f>Raw_Data!B495</f>
        <v/>
      </c>
      <c r="C495" s="13">
        <f>AVERAGE(B466:B495)</f>
        <v/>
      </c>
      <c r="D495" s="13">
        <f>STDEV.S(B466:B495)</f>
        <v/>
      </c>
      <c r="E495" s="13">
        <f>C495+3*D495</f>
        <v/>
      </c>
      <c r="F495" s="13">
        <f>C495-3*D495</f>
        <v/>
      </c>
      <c r="G495" s="15">
        <f>IF(D495=0,"",(B495-C495)/D495)</f>
        <v/>
      </c>
      <c r="H495" s="13">
        <f>MEDIAN(B466:B495)</f>
        <v/>
      </c>
      <c r="I495" s="13">
        <f>MEDIAN(ABS(B466:B495-H495))</f>
        <v/>
      </c>
      <c r="J495" s="15">
        <f>IF(I495=0,"",0.6745*(B495-H495)/I495)</f>
        <v/>
      </c>
      <c r="K495" s="13">
        <f>0.2*B495+0.8*K494</f>
        <v/>
      </c>
      <c r="L495" s="13">
        <f>C495+3*D495*SQRT(0.2/(2-0.2))</f>
        <v/>
      </c>
      <c r="M495" s="13">
        <f>C495-3*D495*SQRT(0.2/(2-0.2))</f>
        <v/>
      </c>
      <c r="N495" s="13">
        <f>MAX(0,N494+(B495-C495-0.5*D495))</f>
        <v/>
      </c>
      <c r="O495" s="13">
        <f>MIN(0,O494+(B495-C495+0.5*D495))</f>
        <v/>
      </c>
      <c r="P495">
        <f>IF(ABS(G495)&gt;1,P494+1,0)</f>
        <v/>
      </c>
      <c r="Q495">
        <f>IFS(OR(ABS(G495)&gt;3,N495&gt;5*D495,ABS(O495)&gt;5*D495,P495&gt;=5),"CRITICAL",OR(ABS(G495)&gt;2,P495&gt;=3,ABS(J495)&gt;3.5),"EARLY WARNING",ABS(G495)&gt;1,"WATCH",TRUE,"NORMAL")</f>
        <v/>
      </c>
    </row>
    <row r="496">
      <c r="A496" s="12" t="n">
        <v>45521</v>
      </c>
      <c r="B496" s="13">
        <f>Raw_Data!B496</f>
        <v/>
      </c>
      <c r="C496" s="13">
        <f>AVERAGE(B467:B496)</f>
        <v/>
      </c>
      <c r="D496" s="13">
        <f>STDEV.S(B467:B496)</f>
        <v/>
      </c>
      <c r="E496" s="13">
        <f>C496+3*D496</f>
        <v/>
      </c>
      <c r="F496" s="13">
        <f>C496-3*D496</f>
        <v/>
      </c>
      <c r="G496" s="15">
        <f>IF(D496=0,"",(B496-C496)/D496)</f>
        <v/>
      </c>
      <c r="H496" s="13">
        <f>MEDIAN(B467:B496)</f>
        <v/>
      </c>
      <c r="I496" s="13">
        <f>MEDIAN(ABS(B467:B496-H496))</f>
        <v/>
      </c>
      <c r="J496" s="15">
        <f>IF(I496=0,"",0.6745*(B496-H496)/I496)</f>
        <v/>
      </c>
      <c r="K496" s="13">
        <f>0.2*B496+0.8*K495</f>
        <v/>
      </c>
      <c r="L496" s="13">
        <f>C496+3*D496*SQRT(0.2/(2-0.2))</f>
        <v/>
      </c>
      <c r="M496" s="13">
        <f>C496-3*D496*SQRT(0.2/(2-0.2))</f>
        <v/>
      </c>
      <c r="N496" s="13">
        <f>MAX(0,N495+(B496-C496-0.5*D496))</f>
        <v/>
      </c>
      <c r="O496" s="13">
        <f>MIN(0,O495+(B496-C496+0.5*D496))</f>
        <v/>
      </c>
      <c r="P496">
        <f>IF(ABS(G496)&gt;1,P495+1,0)</f>
        <v/>
      </c>
      <c r="Q496">
        <f>IFS(OR(ABS(G496)&gt;3,N496&gt;5*D496,ABS(O496)&gt;5*D496,P496&gt;=5),"CRITICAL",OR(ABS(G496)&gt;2,P496&gt;=3,ABS(J496)&gt;3.5),"EARLY WARNING",ABS(G496)&gt;1,"WATCH",TRUE,"NORMAL")</f>
        <v/>
      </c>
    </row>
    <row r="497">
      <c r="A497" s="12" t="n">
        <v>45522</v>
      </c>
      <c r="B497" s="13">
        <f>Raw_Data!B497</f>
        <v/>
      </c>
      <c r="C497" s="13">
        <f>AVERAGE(B468:B497)</f>
        <v/>
      </c>
      <c r="D497" s="13">
        <f>STDEV.S(B468:B497)</f>
        <v/>
      </c>
      <c r="E497" s="13">
        <f>C497+3*D497</f>
        <v/>
      </c>
      <c r="F497" s="13">
        <f>C497-3*D497</f>
        <v/>
      </c>
      <c r="G497" s="15">
        <f>IF(D497=0,"",(B497-C497)/D497)</f>
        <v/>
      </c>
      <c r="H497" s="13">
        <f>MEDIAN(B468:B497)</f>
        <v/>
      </c>
      <c r="I497" s="13">
        <f>MEDIAN(ABS(B468:B497-H497))</f>
        <v/>
      </c>
      <c r="J497" s="15">
        <f>IF(I497=0,"",0.6745*(B497-H497)/I497)</f>
        <v/>
      </c>
      <c r="K497" s="13">
        <f>0.2*B497+0.8*K496</f>
        <v/>
      </c>
      <c r="L497" s="13">
        <f>C497+3*D497*SQRT(0.2/(2-0.2))</f>
        <v/>
      </c>
      <c r="M497" s="13">
        <f>C497-3*D497*SQRT(0.2/(2-0.2))</f>
        <v/>
      </c>
      <c r="N497" s="13">
        <f>MAX(0,N496+(B497-C497-0.5*D497))</f>
        <v/>
      </c>
      <c r="O497" s="13">
        <f>MIN(0,O496+(B497-C497+0.5*D497))</f>
        <v/>
      </c>
      <c r="P497">
        <f>IF(ABS(G497)&gt;1,P496+1,0)</f>
        <v/>
      </c>
      <c r="Q497">
        <f>IFS(OR(ABS(G497)&gt;3,N497&gt;5*D497,ABS(O497)&gt;5*D497,P497&gt;=5),"CRITICAL",OR(ABS(G497)&gt;2,P497&gt;=3,ABS(J497)&gt;3.5),"EARLY WARNING",ABS(G497)&gt;1,"WATCH",TRUE,"NORMAL")</f>
        <v/>
      </c>
    </row>
    <row r="498">
      <c r="A498" s="12" t="n">
        <v>45523</v>
      </c>
      <c r="B498" s="13">
        <f>Raw_Data!B498</f>
        <v/>
      </c>
      <c r="C498" s="13">
        <f>AVERAGE(B469:B498)</f>
        <v/>
      </c>
      <c r="D498" s="13">
        <f>STDEV.S(B469:B498)</f>
        <v/>
      </c>
      <c r="E498" s="13">
        <f>C498+3*D498</f>
        <v/>
      </c>
      <c r="F498" s="13">
        <f>C498-3*D498</f>
        <v/>
      </c>
      <c r="G498" s="15">
        <f>IF(D498=0,"",(B498-C498)/D498)</f>
        <v/>
      </c>
      <c r="H498" s="13">
        <f>MEDIAN(B469:B498)</f>
        <v/>
      </c>
      <c r="I498" s="13">
        <f>MEDIAN(ABS(B469:B498-H498))</f>
        <v/>
      </c>
      <c r="J498" s="15">
        <f>IF(I498=0,"",0.6745*(B498-H498)/I498)</f>
        <v/>
      </c>
      <c r="K498" s="13">
        <f>0.2*B498+0.8*K497</f>
        <v/>
      </c>
      <c r="L498" s="13">
        <f>C498+3*D498*SQRT(0.2/(2-0.2))</f>
        <v/>
      </c>
      <c r="M498" s="13">
        <f>C498-3*D498*SQRT(0.2/(2-0.2))</f>
        <v/>
      </c>
      <c r="N498" s="13">
        <f>MAX(0,N497+(B498-C498-0.5*D498))</f>
        <v/>
      </c>
      <c r="O498" s="13">
        <f>MIN(0,O497+(B498-C498+0.5*D498))</f>
        <v/>
      </c>
      <c r="P498">
        <f>IF(ABS(G498)&gt;1,P497+1,0)</f>
        <v/>
      </c>
      <c r="Q498">
        <f>IFS(OR(ABS(G498)&gt;3,N498&gt;5*D498,ABS(O498)&gt;5*D498,P498&gt;=5),"CRITICAL",OR(ABS(G498)&gt;2,P498&gt;=3,ABS(J498)&gt;3.5),"EARLY WARNING",ABS(G498)&gt;1,"WATCH",TRUE,"NORMAL")</f>
        <v/>
      </c>
    </row>
    <row r="499">
      <c r="A499" s="12" t="n">
        <v>45524</v>
      </c>
      <c r="B499" s="13">
        <f>Raw_Data!B499</f>
        <v/>
      </c>
      <c r="C499" s="13">
        <f>AVERAGE(B470:B499)</f>
        <v/>
      </c>
      <c r="D499" s="13">
        <f>STDEV.S(B470:B499)</f>
        <v/>
      </c>
      <c r="E499" s="13">
        <f>C499+3*D499</f>
        <v/>
      </c>
      <c r="F499" s="13">
        <f>C499-3*D499</f>
        <v/>
      </c>
      <c r="G499" s="15">
        <f>IF(D499=0,"",(B499-C499)/D499)</f>
        <v/>
      </c>
      <c r="H499" s="13">
        <f>MEDIAN(B470:B499)</f>
        <v/>
      </c>
      <c r="I499" s="13">
        <f>MEDIAN(ABS(B470:B499-H499))</f>
        <v/>
      </c>
      <c r="J499" s="15">
        <f>IF(I499=0,"",0.6745*(B499-H499)/I499)</f>
        <v/>
      </c>
      <c r="K499" s="13">
        <f>0.2*B499+0.8*K498</f>
        <v/>
      </c>
      <c r="L499" s="13">
        <f>C499+3*D499*SQRT(0.2/(2-0.2))</f>
        <v/>
      </c>
      <c r="M499" s="13">
        <f>C499-3*D499*SQRT(0.2/(2-0.2))</f>
        <v/>
      </c>
      <c r="N499" s="13">
        <f>MAX(0,N498+(B499-C499-0.5*D499))</f>
        <v/>
      </c>
      <c r="O499" s="13">
        <f>MIN(0,O498+(B499-C499+0.5*D499))</f>
        <v/>
      </c>
      <c r="P499">
        <f>IF(ABS(G499)&gt;1,P498+1,0)</f>
        <v/>
      </c>
      <c r="Q499">
        <f>IFS(OR(ABS(G499)&gt;3,N499&gt;5*D499,ABS(O499)&gt;5*D499,P499&gt;=5),"CRITICAL",OR(ABS(G499)&gt;2,P499&gt;=3,ABS(J499)&gt;3.5),"EARLY WARNING",ABS(G499)&gt;1,"WATCH",TRUE,"NORMAL")</f>
        <v/>
      </c>
    </row>
    <row r="500">
      <c r="A500" s="12" t="n">
        <v>45525</v>
      </c>
      <c r="B500" s="13">
        <f>Raw_Data!B500</f>
        <v/>
      </c>
      <c r="C500" s="13">
        <f>AVERAGE(B471:B500)</f>
        <v/>
      </c>
      <c r="D500" s="13">
        <f>STDEV.S(B471:B500)</f>
        <v/>
      </c>
      <c r="E500" s="13">
        <f>C500+3*D500</f>
        <v/>
      </c>
      <c r="F500" s="13">
        <f>C500-3*D500</f>
        <v/>
      </c>
      <c r="G500" s="15">
        <f>IF(D500=0,"",(B500-C500)/D500)</f>
        <v/>
      </c>
      <c r="H500" s="13">
        <f>MEDIAN(B471:B500)</f>
        <v/>
      </c>
      <c r="I500" s="13">
        <f>MEDIAN(ABS(B471:B500-H500))</f>
        <v/>
      </c>
      <c r="J500" s="15">
        <f>IF(I500=0,"",0.6745*(B500-H500)/I500)</f>
        <v/>
      </c>
      <c r="K500" s="13">
        <f>0.2*B500+0.8*K499</f>
        <v/>
      </c>
      <c r="L500" s="13">
        <f>C500+3*D500*SQRT(0.2/(2-0.2))</f>
        <v/>
      </c>
      <c r="M500" s="13">
        <f>C500-3*D500*SQRT(0.2/(2-0.2))</f>
        <v/>
      </c>
      <c r="N500" s="13">
        <f>MAX(0,N499+(B500-C500-0.5*D500))</f>
        <v/>
      </c>
      <c r="O500" s="13">
        <f>MIN(0,O499+(B500-C500+0.5*D500))</f>
        <v/>
      </c>
      <c r="P500">
        <f>IF(ABS(G500)&gt;1,P499+1,0)</f>
        <v/>
      </c>
      <c r="Q500">
        <f>IFS(OR(ABS(G500)&gt;3,N500&gt;5*D500,ABS(O500)&gt;5*D500,P500&gt;=5),"CRITICAL",OR(ABS(G500)&gt;2,P500&gt;=3,ABS(J500)&gt;3.5),"EARLY WARNING",ABS(G500)&gt;1,"WATCH",TRUE,"NORMAL")</f>
        <v/>
      </c>
    </row>
    <row r="501">
      <c r="A501" s="12" t="n">
        <v>45526</v>
      </c>
      <c r="B501" s="13">
        <f>Raw_Data!B501</f>
        <v/>
      </c>
      <c r="C501" s="13">
        <f>AVERAGE(B472:B501)</f>
        <v/>
      </c>
      <c r="D501" s="13">
        <f>STDEV.S(B472:B501)</f>
        <v/>
      </c>
      <c r="E501" s="13">
        <f>C501+3*D501</f>
        <v/>
      </c>
      <c r="F501" s="13">
        <f>C501-3*D501</f>
        <v/>
      </c>
      <c r="G501" s="15">
        <f>IF(D501=0,"",(B501-C501)/D501)</f>
        <v/>
      </c>
      <c r="H501" s="13">
        <f>MEDIAN(B472:B501)</f>
        <v/>
      </c>
      <c r="I501" s="13">
        <f>MEDIAN(ABS(B472:B501-H501))</f>
        <v/>
      </c>
      <c r="J501" s="15">
        <f>IF(I501=0,"",0.6745*(B501-H501)/I501)</f>
        <v/>
      </c>
      <c r="K501" s="13">
        <f>0.2*B501+0.8*K500</f>
        <v/>
      </c>
      <c r="L501" s="13">
        <f>C501+3*D501*SQRT(0.2/(2-0.2))</f>
        <v/>
      </c>
      <c r="M501" s="13">
        <f>C501-3*D501*SQRT(0.2/(2-0.2))</f>
        <v/>
      </c>
      <c r="N501" s="13">
        <f>MAX(0,N500+(B501-C501-0.5*D501))</f>
        <v/>
      </c>
      <c r="O501" s="13">
        <f>MIN(0,O500+(B501-C501+0.5*D501))</f>
        <v/>
      </c>
      <c r="P501">
        <f>IF(ABS(G501)&gt;1,P500+1,0)</f>
        <v/>
      </c>
      <c r="Q501">
        <f>IFS(OR(ABS(G501)&gt;3,N501&gt;5*D501,ABS(O501)&gt;5*D501,P501&gt;=5),"CRITICAL",OR(ABS(G501)&gt;2,P501&gt;=3,ABS(J501)&gt;3.5),"EARLY WARNING",ABS(G501)&gt;1,"WATCH",TRUE,"NORMAL")</f>
        <v/>
      </c>
    </row>
    <row r="502">
      <c r="A502" s="12" t="n">
        <v>45527</v>
      </c>
      <c r="B502" s="13">
        <f>Raw_Data!B502</f>
        <v/>
      </c>
      <c r="C502" s="13">
        <f>AVERAGE(B473:B502)</f>
        <v/>
      </c>
      <c r="D502" s="13">
        <f>STDEV.S(B473:B502)</f>
        <v/>
      </c>
      <c r="E502" s="13">
        <f>C502+3*D502</f>
        <v/>
      </c>
      <c r="F502" s="13">
        <f>C502-3*D502</f>
        <v/>
      </c>
      <c r="G502" s="15">
        <f>IF(D502=0,"",(B502-C502)/D502)</f>
        <v/>
      </c>
      <c r="H502" s="13">
        <f>MEDIAN(B473:B502)</f>
        <v/>
      </c>
      <c r="I502" s="13">
        <f>MEDIAN(ABS(B473:B502-H502))</f>
        <v/>
      </c>
      <c r="J502" s="15">
        <f>IF(I502=0,"",0.6745*(B502-H502)/I502)</f>
        <v/>
      </c>
      <c r="K502" s="13">
        <f>0.2*B502+0.8*K501</f>
        <v/>
      </c>
      <c r="L502" s="13">
        <f>C502+3*D502*SQRT(0.2/(2-0.2))</f>
        <v/>
      </c>
      <c r="M502" s="13">
        <f>C502-3*D502*SQRT(0.2/(2-0.2))</f>
        <v/>
      </c>
      <c r="N502" s="13">
        <f>MAX(0,N501+(B502-C502-0.5*D502))</f>
        <v/>
      </c>
      <c r="O502" s="13">
        <f>MIN(0,O501+(B502-C502+0.5*D502))</f>
        <v/>
      </c>
      <c r="P502">
        <f>IF(ABS(G502)&gt;1,P501+1,0)</f>
        <v/>
      </c>
      <c r="Q502">
        <f>IFS(OR(ABS(G502)&gt;3,N502&gt;5*D502,ABS(O502)&gt;5*D502,P502&gt;=5),"CRITICAL",OR(ABS(G502)&gt;2,P502&gt;=3,ABS(J502)&gt;3.5),"EARLY WARNING",ABS(G502)&gt;1,"WATCH",TRUE,"NORMAL")</f>
        <v/>
      </c>
    </row>
    <row r="503">
      <c r="A503" s="12" t="n">
        <v>45528</v>
      </c>
      <c r="B503" s="13">
        <f>Raw_Data!B503</f>
        <v/>
      </c>
      <c r="C503" s="13">
        <f>AVERAGE(B474:B503)</f>
        <v/>
      </c>
      <c r="D503" s="13">
        <f>STDEV.S(B474:B503)</f>
        <v/>
      </c>
      <c r="E503" s="13">
        <f>C503+3*D503</f>
        <v/>
      </c>
      <c r="F503" s="13">
        <f>C503-3*D503</f>
        <v/>
      </c>
      <c r="G503" s="15">
        <f>IF(D503=0,"",(B503-C503)/D503)</f>
        <v/>
      </c>
      <c r="H503" s="13">
        <f>MEDIAN(B474:B503)</f>
        <v/>
      </c>
      <c r="I503" s="13">
        <f>MEDIAN(ABS(B474:B503-H503))</f>
        <v/>
      </c>
      <c r="J503" s="15">
        <f>IF(I503=0,"",0.6745*(B503-H503)/I503)</f>
        <v/>
      </c>
      <c r="K503" s="13">
        <f>0.2*B503+0.8*K502</f>
        <v/>
      </c>
      <c r="L503" s="13">
        <f>C503+3*D503*SQRT(0.2/(2-0.2))</f>
        <v/>
      </c>
      <c r="M503" s="13">
        <f>C503-3*D503*SQRT(0.2/(2-0.2))</f>
        <v/>
      </c>
      <c r="N503" s="13">
        <f>MAX(0,N502+(B503-C503-0.5*D503))</f>
        <v/>
      </c>
      <c r="O503" s="13">
        <f>MIN(0,O502+(B503-C503+0.5*D503))</f>
        <v/>
      </c>
      <c r="P503">
        <f>IF(ABS(G503)&gt;1,P502+1,0)</f>
        <v/>
      </c>
      <c r="Q503">
        <f>IFS(OR(ABS(G503)&gt;3,N503&gt;5*D503,ABS(O503)&gt;5*D503,P503&gt;=5),"CRITICAL",OR(ABS(G503)&gt;2,P503&gt;=3,ABS(J503)&gt;3.5),"EARLY WARNING",ABS(G503)&gt;1,"WATCH",TRUE,"NORMAL")</f>
        <v/>
      </c>
    </row>
    <row r="504">
      <c r="A504" s="12" t="n">
        <v>45529</v>
      </c>
      <c r="B504" s="13">
        <f>Raw_Data!B504</f>
        <v/>
      </c>
      <c r="C504" s="13">
        <f>AVERAGE(B475:B504)</f>
        <v/>
      </c>
      <c r="D504" s="13">
        <f>STDEV.S(B475:B504)</f>
        <v/>
      </c>
      <c r="E504" s="13">
        <f>C504+3*D504</f>
        <v/>
      </c>
      <c r="F504" s="13">
        <f>C504-3*D504</f>
        <v/>
      </c>
      <c r="G504" s="15">
        <f>IF(D504=0,"",(B504-C504)/D504)</f>
        <v/>
      </c>
      <c r="H504" s="13">
        <f>MEDIAN(B475:B504)</f>
        <v/>
      </c>
      <c r="I504" s="13">
        <f>MEDIAN(ABS(B475:B504-H504))</f>
        <v/>
      </c>
      <c r="J504" s="15">
        <f>IF(I504=0,"",0.6745*(B504-H504)/I504)</f>
        <v/>
      </c>
      <c r="K504" s="13">
        <f>0.2*B504+0.8*K503</f>
        <v/>
      </c>
      <c r="L504" s="13">
        <f>C504+3*D504*SQRT(0.2/(2-0.2))</f>
        <v/>
      </c>
      <c r="M504" s="13">
        <f>C504-3*D504*SQRT(0.2/(2-0.2))</f>
        <v/>
      </c>
      <c r="N504" s="13">
        <f>MAX(0,N503+(B504-C504-0.5*D504))</f>
        <v/>
      </c>
      <c r="O504" s="13">
        <f>MIN(0,O503+(B504-C504+0.5*D504))</f>
        <v/>
      </c>
      <c r="P504">
        <f>IF(ABS(G504)&gt;1,P503+1,0)</f>
        <v/>
      </c>
      <c r="Q504">
        <f>IFS(OR(ABS(G504)&gt;3,N504&gt;5*D504,ABS(O504)&gt;5*D504,P504&gt;=5),"CRITICAL",OR(ABS(G504)&gt;2,P504&gt;=3,ABS(J504)&gt;3.5),"EARLY WARNING",ABS(G504)&gt;1,"WATCH",TRUE,"NORMAL")</f>
        <v/>
      </c>
    </row>
    <row r="505">
      <c r="A505" s="12" t="n">
        <v>45530</v>
      </c>
      <c r="B505" s="13">
        <f>Raw_Data!B505</f>
        <v/>
      </c>
      <c r="C505" s="13">
        <f>AVERAGE(B476:B505)</f>
        <v/>
      </c>
      <c r="D505" s="13">
        <f>STDEV.S(B476:B505)</f>
        <v/>
      </c>
      <c r="E505" s="13">
        <f>C505+3*D505</f>
        <v/>
      </c>
      <c r="F505" s="13">
        <f>C505-3*D505</f>
        <v/>
      </c>
      <c r="G505" s="15">
        <f>IF(D505=0,"",(B505-C505)/D505)</f>
        <v/>
      </c>
      <c r="H505" s="13">
        <f>MEDIAN(B476:B505)</f>
        <v/>
      </c>
      <c r="I505" s="13">
        <f>MEDIAN(ABS(B476:B505-H505))</f>
        <v/>
      </c>
      <c r="J505" s="15">
        <f>IF(I505=0,"",0.6745*(B505-H505)/I505)</f>
        <v/>
      </c>
      <c r="K505" s="13">
        <f>0.2*B505+0.8*K504</f>
        <v/>
      </c>
      <c r="L505" s="13">
        <f>C505+3*D505*SQRT(0.2/(2-0.2))</f>
        <v/>
      </c>
      <c r="M505" s="13">
        <f>C505-3*D505*SQRT(0.2/(2-0.2))</f>
        <v/>
      </c>
      <c r="N505" s="13">
        <f>MAX(0,N504+(B505-C505-0.5*D505))</f>
        <v/>
      </c>
      <c r="O505" s="13">
        <f>MIN(0,O504+(B505-C505+0.5*D505))</f>
        <v/>
      </c>
      <c r="P505">
        <f>IF(ABS(G505)&gt;1,P504+1,0)</f>
        <v/>
      </c>
      <c r="Q505">
        <f>IFS(OR(ABS(G505)&gt;3,N505&gt;5*D505,ABS(O505)&gt;5*D505,P505&gt;=5),"CRITICAL",OR(ABS(G505)&gt;2,P505&gt;=3,ABS(J505)&gt;3.5),"EARLY WARNING",ABS(G505)&gt;1,"WATCH",TRUE,"NORMAL")</f>
        <v/>
      </c>
    </row>
    <row r="506">
      <c r="A506" s="12" t="n">
        <v>45531</v>
      </c>
      <c r="B506" s="13">
        <f>Raw_Data!B506</f>
        <v/>
      </c>
      <c r="C506" s="13">
        <f>AVERAGE(B477:B506)</f>
        <v/>
      </c>
      <c r="D506" s="13">
        <f>STDEV.S(B477:B506)</f>
        <v/>
      </c>
      <c r="E506" s="13">
        <f>C506+3*D506</f>
        <v/>
      </c>
      <c r="F506" s="13">
        <f>C506-3*D506</f>
        <v/>
      </c>
      <c r="G506" s="15">
        <f>IF(D506=0,"",(B506-C506)/D506)</f>
        <v/>
      </c>
      <c r="H506" s="13">
        <f>MEDIAN(B477:B506)</f>
        <v/>
      </c>
      <c r="I506" s="13">
        <f>MEDIAN(ABS(B477:B506-H506))</f>
        <v/>
      </c>
      <c r="J506" s="15">
        <f>IF(I506=0,"",0.6745*(B506-H506)/I506)</f>
        <v/>
      </c>
      <c r="K506" s="13">
        <f>0.2*B506+0.8*K505</f>
        <v/>
      </c>
      <c r="L506" s="13">
        <f>C506+3*D506*SQRT(0.2/(2-0.2))</f>
        <v/>
      </c>
      <c r="M506" s="13">
        <f>C506-3*D506*SQRT(0.2/(2-0.2))</f>
        <v/>
      </c>
      <c r="N506" s="13">
        <f>MAX(0,N505+(B506-C506-0.5*D506))</f>
        <v/>
      </c>
      <c r="O506" s="13">
        <f>MIN(0,O505+(B506-C506+0.5*D506))</f>
        <v/>
      </c>
      <c r="P506">
        <f>IF(ABS(G506)&gt;1,P505+1,0)</f>
        <v/>
      </c>
      <c r="Q506">
        <f>IFS(OR(ABS(G506)&gt;3,N506&gt;5*D506,ABS(O506)&gt;5*D506,P506&gt;=5),"CRITICAL",OR(ABS(G506)&gt;2,P506&gt;=3,ABS(J506)&gt;3.5),"EARLY WARNING",ABS(G506)&gt;1,"WATCH",TRUE,"NORMAL")</f>
        <v/>
      </c>
    </row>
    <row r="507">
      <c r="A507" s="12" t="n">
        <v>45532</v>
      </c>
      <c r="B507" s="13">
        <f>Raw_Data!B507</f>
        <v/>
      </c>
      <c r="C507" s="13">
        <f>AVERAGE(B478:B507)</f>
        <v/>
      </c>
      <c r="D507" s="13">
        <f>STDEV.S(B478:B507)</f>
        <v/>
      </c>
      <c r="E507" s="13">
        <f>C507+3*D507</f>
        <v/>
      </c>
      <c r="F507" s="13">
        <f>C507-3*D507</f>
        <v/>
      </c>
      <c r="G507" s="15">
        <f>IF(D507=0,"",(B507-C507)/D507)</f>
        <v/>
      </c>
      <c r="H507" s="13">
        <f>MEDIAN(B478:B507)</f>
        <v/>
      </c>
      <c r="I507" s="13">
        <f>MEDIAN(ABS(B478:B507-H507))</f>
        <v/>
      </c>
      <c r="J507" s="15">
        <f>IF(I507=0,"",0.6745*(B507-H507)/I507)</f>
        <v/>
      </c>
      <c r="K507" s="13">
        <f>0.2*B507+0.8*K506</f>
        <v/>
      </c>
      <c r="L507" s="13">
        <f>C507+3*D507*SQRT(0.2/(2-0.2))</f>
        <v/>
      </c>
      <c r="M507" s="13">
        <f>C507-3*D507*SQRT(0.2/(2-0.2))</f>
        <v/>
      </c>
      <c r="N507" s="13">
        <f>MAX(0,N506+(B507-C507-0.5*D507))</f>
        <v/>
      </c>
      <c r="O507" s="13">
        <f>MIN(0,O506+(B507-C507+0.5*D507))</f>
        <v/>
      </c>
      <c r="P507">
        <f>IF(ABS(G507)&gt;1,P506+1,0)</f>
        <v/>
      </c>
      <c r="Q507">
        <f>IFS(OR(ABS(G507)&gt;3,N507&gt;5*D507,ABS(O507)&gt;5*D507,P507&gt;=5),"CRITICAL",OR(ABS(G507)&gt;2,P507&gt;=3,ABS(J507)&gt;3.5),"EARLY WARNING",ABS(G507)&gt;1,"WATCH",TRUE,"NORMAL")</f>
        <v/>
      </c>
    </row>
    <row r="508">
      <c r="A508" s="12" t="n">
        <v>45533</v>
      </c>
      <c r="B508" s="13">
        <f>Raw_Data!B508</f>
        <v/>
      </c>
      <c r="C508" s="13">
        <f>AVERAGE(B479:B508)</f>
        <v/>
      </c>
      <c r="D508" s="13">
        <f>STDEV.S(B479:B508)</f>
        <v/>
      </c>
      <c r="E508" s="13">
        <f>C508+3*D508</f>
        <v/>
      </c>
      <c r="F508" s="13">
        <f>C508-3*D508</f>
        <v/>
      </c>
      <c r="G508" s="15">
        <f>IF(D508=0,"",(B508-C508)/D508)</f>
        <v/>
      </c>
      <c r="H508" s="13">
        <f>MEDIAN(B479:B508)</f>
        <v/>
      </c>
      <c r="I508" s="13">
        <f>MEDIAN(ABS(B479:B508-H508))</f>
        <v/>
      </c>
      <c r="J508" s="15">
        <f>IF(I508=0,"",0.6745*(B508-H508)/I508)</f>
        <v/>
      </c>
      <c r="K508" s="13">
        <f>0.2*B508+0.8*K507</f>
        <v/>
      </c>
      <c r="L508" s="13">
        <f>C508+3*D508*SQRT(0.2/(2-0.2))</f>
        <v/>
      </c>
      <c r="M508" s="13">
        <f>C508-3*D508*SQRT(0.2/(2-0.2))</f>
        <v/>
      </c>
      <c r="N508" s="13">
        <f>MAX(0,N507+(B508-C508-0.5*D508))</f>
        <v/>
      </c>
      <c r="O508" s="13">
        <f>MIN(0,O507+(B508-C508+0.5*D508))</f>
        <v/>
      </c>
      <c r="P508">
        <f>IF(ABS(G508)&gt;1,P507+1,0)</f>
        <v/>
      </c>
      <c r="Q508">
        <f>IFS(OR(ABS(G508)&gt;3,N508&gt;5*D508,ABS(O508)&gt;5*D508,P508&gt;=5),"CRITICAL",OR(ABS(G508)&gt;2,P508&gt;=3,ABS(J508)&gt;3.5),"EARLY WARNING",ABS(G508)&gt;1,"WATCH",TRUE,"NORMAL")</f>
        <v/>
      </c>
    </row>
    <row r="509">
      <c r="A509" s="12" t="n">
        <v>45534</v>
      </c>
      <c r="B509" s="13">
        <f>Raw_Data!B509</f>
        <v/>
      </c>
      <c r="C509" s="13">
        <f>AVERAGE(B480:B509)</f>
        <v/>
      </c>
      <c r="D509" s="13">
        <f>STDEV.S(B480:B509)</f>
        <v/>
      </c>
      <c r="E509" s="13">
        <f>C509+3*D509</f>
        <v/>
      </c>
      <c r="F509" s="13">
        <f>C509-3*D509</f>
        <v/>
      </c>
      <c r="G509" s="15">
        <f>IF(D509=0,"",(B509-C509)/D509)</f>
        <v/>
      </c>
      <c r="H509" s="13">
        <f>MEDIAN(B480:B509)</f>
        <v/>
      </c>
      <c r="I509" s="13">
        <f>MEDIAN(ABS(B480:B509-H509))</f>
        <v/>
      </c>
      <c r="J509" s="15">
        <f>IF(I509=0,"",0.6745*(B509-H509)/I509)</f>
        <v/>
      </c>
      <c r="K509" s="13">
        <f>0.2*B509+0.8*K508</f>
        <v/>
      </c>
      <c r="L509" s="13">
        <f>C509+3*D509*SQRT(0.2/(2-0.2))</f>
        <v/>
      </c>
      <c r="M509" s="13">
        <f>C509-3*D509*SQRT(0.2/(2-0.2))</f>
        <v/>
      </c>
      <c r="N509" s="13">
        <f>MAX(0,N508+(B509-C509-0.5*D509))</f>
        <v/>
      </c>
      <c r="O509" s="13">
        <f>MIN(0,O508+(B509-C509+0.5*D509))</f>
        <v/>
      </c>
      <c r="P509">
        <f>IF(ABS(G509)&gt;1,P508+1,0)</f>
        <v/>
      </c>
      <c r="Q509">
        <f>IFS(OR(ABS(G509)&gt;3,N509&gt;5*D509,ABS(O509)&gt;5*D509,P509&gt;=5),"CRITICAL",OR(ABS(G509)&gt;2,P509&gt;=3,ABS(J509)&gt;3.5),"EARLY WARNING",ABS(G509)&gt;1,"WATCH",TRUE,"NORMAL")</f>
        <v/>
      </c>
    </row>
    <row r="510">
      <c r="A510" s="12" t="n">
        <v>45535</v>
      </c>
      <c r="B510" s="13">
        <f>Raw_Data!B510</f>
        <v/>
      </c>
      <c r="C510" s="13">
        <f>AVERAGE(B481:B510)</f>
        <v/>
      </c>
      <c r="D510" s="13">
        <f>STDEV.S(B481:B510)</f>
        <v/>
      </c>
      <c r="E510" s="13">
        <f>C510+3*D510</f>
        <v/>
      </c>
      <c r="F510" s="13">
        <f>C510-3*D510</f>
        <v/>
      </c>
      <c r="G510" s="15">
        <f>IF(D510=0,"",(B510-C510)/D510)</f>
        <v/>
      </c>
      <c r="H510" s="13">
        <f>MEDIAN(B481:B510)</f>
        <v/>
      </c>
      <c r="I510" s="13">
        <f>MEDIAN(ABS(B481:B510-H510))</f>
        <v/>
      </c>
      <c r="J510" s="15">
        <f>IF(I510=0,"",0.6745*(B510-H510)/I510)</f>
        <v/>
      </c>
      <c r="K510" s="13">
        <f>0.2*B510+0.8*K509</f>
        <v/>
      </c>
      <c r="L510" s="13">
        <f>C510+3*D510*SQRT(0.2/(2-0.2))</f>
        <v/>
      </c>
      <c r="M510" s="13">
        <f>C510-3*D510*SQRT(0.2/(2-0.2))</f>
        <v/>
      </c>
      <c r="N510" s="13">
        <f>MAX(0,N509+(B510-C510-0.5*D510))</f>
        <v/>
      </c>
      <c r="O510" s="13">
        <f>MIN(0,O509+(B510-C510+0.5*D510))</f>
        <v/>
      </c>
      <c r="P510">
        <f>IF(ABS(G510)&gt;1,P509+1,0)</f>
        <v/>
      </c>
      <c r="Q510">
        <f>IFS(OR(ABS(G510)&gt;3,N510&gt;5*D510,ABS(O510)&gt;5*D510,P510&gt;=5),"CRITICAL",OR(ABS(G510)&gt;2,P510&gt;=3,ABS(J510)&gt;3.5),"EARLY WARNING",ABS(G510)&gt;1,"WATCH",TRUE,"NORMAL")</f>
        <v/>
      </c>
    </row>
    <row r="511">
      <c r="A511" s="12" t="n">
        <v>45536</v>
      </c>
      <c r="B511" s="13">
        <f>Raw_Data!B511</f>
        <v/>
      </c>
      <c r="C511" s="13">
        <f>AVERAGE(B482:B511)</f>
        <v/>
      </c>
      <c r="D511" s="13">
        <f>STDEV.S(B482:B511)</f>
        <v/>
      </c>
      <c r="E511" s="13">
        <f>C511+3*D511</f>
        <v/>
      </c>
      <c r="F511" s="13">
        <f>C511-3*D511</f>
        <v/>
      </c>
      <c r="G511" s="15">
        <f>IF(D511=0,"",(B511-C511)/D511)</f>
        <v/>
      </c>
      <c r="H511" s="13">
        <f>MEDIAN(B482:B511)</f>
        <v/>
      </c>
      <c r="I511" s="13">
        <f>MEDIAN(ABS(B482:B511-H511))</f>
        <v/>
      </c>
      <c r="J511" s="15">
        <f>IF(I511=0,"",0.6745*(B511-H511)/I511)</f>
        <v/>
      </c>
      <c r="K511" s="13">
        <f>0.2*B511+0.8*K510</f>
        <v/>
      </c>
      <c r="L511" s="13">
        <f>C511+3*D511*SQRT(0.2/(2-0.2))</f>
        <v/>
      </c>
      <c r="M511" s="13">
        <f>C511-3*D511*SQRT(0.2/(2-0.2))</f>
        <v/>
      </c>
      <c r="N511" s="13">
        <f>MAX(0,N510+(B511-C511-0.5*D511))</f>
        <v/>
      </c>
      <c r="O511" s="13">
        <f>MIN(0,O510+(B511-C511+0.5*D511))</f>
        <v/>
      </c>
      <c r="P511">
        <f>IF(ABS(G511)&gt;1,P510+1,0)</f>
        <v/>
      </c>
      <c r="Q511">
        <f>IFS(OR(ABS(G511)&gt;3,N511&gt;5*D511,ABS(O511)&gt;5*D511,P511&gt;=5),"CRITICAL",OR(ABS(G511)&gt;2,P511&gt;=3,ABS(J511)&gt;3.5),"EARLY WARNING",ABS(G511)&gt;1,"WATCH",TRUE,"NORMAL")</f>
        <v/>
      </c>
    </row>
    <row r="512">
      <c r="A512" s="12" t="n">
        <v>45537</v>
      </c>
      <c r="B512" s="13">
        <f>Raw_Data!B512</f>
        <v/>
      </c>
      <c r="C512" s="13">
        <f>AVERAGE(B483:B512)</f>
        <v/>
      </c>
      <c r="D512" s="13">
        <f>STDEV.S(B483:B512)</f>
        <v/>
      </c>
      <c r="E512" s="13">
        <f>C512+3*D512</f>
        <v/>
      </c>
      <c r="F512" s="13">
        <f>C512-3*D512</f>
        <v/>
      </c>
      <c r="G512" s="15">
        <f>IF(D512=0,"",(B512-C512)/D512)</f>
        <v/>
      </c>
      <c r="H512" s="13">
        <f>MEDIAN(B483:B512)</f>
        <v/>
      </c>
      <c r="I512" s="13">
        <f>MEDIAN(ABS(B483:B512-H512))</f>
        <v/>
      </c>
      <c r="J512" s="15">
        <f>IF(I512=0,"",0.6745*(B512-H512)/I512)</f>
        <v/>
      </c>
      <c r="K512" s="13">
        <f>0.2*B512+0.8*K511</f>
        <v/>
      </c>
      <c r="L512" s="13">
        <f>C512+3*D512*SQRT(0.2/(2-0.2))</f>
        <v/>
      </c>
      <c r="M512" s="13">
        <f>C512-3*D512*SQRT(0.2/(2-0.2))</f>
        <v/>
      </c>
      <c r="N512" s="13">
        <f>MAX(0,N511+(B512-C512-0.5*D512))</f>
        <v/>
      </c>
      <c r="O512" s="13">
        <f>MIN(0,O511+(B512-C512+0.5*D512))</f>
        <v/>
      </c>
      <c r="P512">
        <f>IF(ABS(G512)&gt;1,P511+1,0)</f>
        <v/>
      </c>
      <c r="Q512">
        <f>IFS(OR(ABS(G512)&gt;3,N512&gt;5*D512,ABS(O512)&gt;5*D512,P512&gt;=5),"CRITICAL",OR(ABS(G512)&gt;2,P512&gt;=3,ABS(J512)&gt;3.5),"EARLY WARNING",ABS(G512)&gt;1,"WATCH",TRUE,"NORMAL")</f>
        <v/>
      </c>
    </row>
    <row r="513">
      <c r="A513" s="12" t="n">
        <v>45538</v>
      </c>
      <c r="B513" s="13">
        <f>Raw_Data!B513</f>
        <v/>
      </c>
      <c r="C513" s="13">
        <f>AVERAGE(B484:B513)</f>
        <v/>
      </c>
      <c r="D513" s="13">
        <f>STDEV.S(B484:B513)</f>
        <v/>
      </c>
      <c r="E513" s="13">
        <f>C513+3*D513</f>
        <v/>
      </c>
      <c r="F513" s="13">
        <f>C513-3*D513</f>
        <v/>
      </c>
      <c r="G513" s="15">
        <f>IF(D513=0,"",(B513-C513)/D513)</f>
        <v/>
      </c>
      <c r="H513" s="13">
        <f>MEDIAN(B484:B513)</f>
        <v/>
      </c>
      <c r="I513" s="13">
        <f>MEDIAN(ABS(B484:B513-H513))</f>
        <v/>
      </c>
      <c r="J513" s="15">
        <f>IF(I513=0,"",0.6745*(B513-H513)/I513)</f>
        <v/>
      </c>
      <c r="K513" s="13">
        <f>0.2*B513+0.8*K512</f>
        <v/>
      </c>
      <c r="L513" s="13">
        <f>C513+3*D513*SQRT(0.2/(2-0.2))</f>
        <v/>
      </c>
      <c r="M513" s="13">
        <f>C513-3*D513*SQRT(0.2/(2-0.2))</f>
        <v/>
      </c>
      <c r="N513" s="13">
        <f>MAX(0,N512+(B513-C513-0.5*D513))</f>
        <v/>
      </c>
      <c r="O513" s="13">
        <f>MIN(0,O512+(B513-C513+0.5*D513))</f>
        <v/>
      </c>
      <c r="P513">
        <f>IF(ABS(G513)&gt;1,P512+1,0)</f>
        <v/>
      </c>
      <c r="Q513">
        <f>IFS(OR(ABS(G513)&gt;3,N513&gt;5*D513,ABS(O513)&gt;5*D513,P513&gt;=5),"CRITICAL",OR(ABS(G513)&gt;2,P513&gt;=3,ABS(J513)&gt;3.5),"EARLY WARNING",ABS(G513)&gt;1,"WATCH",TRUE,"NORMAL")</f>
        <v/>
      </c>
    </row>
    <row r="514">
      <c r="A514" s="12" t="n">
        <v>45539</v>
      </c>
      <c r="B514" s="13">
        <f>Raw_Data!B514</f>
        <v/>
      </c>
      <c r="C514" s="13">
        <f>AVERAGE(B485:B514)</f>
        <v/>
      </c>
      <c r="D514" s="13">
        <f>STDEV.S(B485:B514)</f>
        <v/>
      </c>
      <c r="E514" s="13">
        <f>C514+3*D514</f>
        <v/>
      </c>
      <c r="F514" s="13">
        <f>C514-3*D514</f>
        <v/>
      </c>
      <c r="G514" s="15">
        <f>IF(D514=0,"",(B514-C514)/D514)</f>
        <v/>
      </c>
      <c r="H514" s="13">
        <f>MEDIAN(B485:B514)</f>
        <v/>
      </c>
      <c r="I514" s="13">
        <f>MEDIAN(ABS(B485:B514-H514))</f>
        <v/>
      </c>
      <c r="J514" s="15">
        <f>IF(I514=0,"",0.6745*(B514-H514)/I514)</f>
        <v/>
      </c>
      <c r="K514" s="13">
        <f>0.2*B514+0.8*K513</f>
        <v/>
      </c>
      <c r="L514" s="13">
        <f>C514+3*D514*SQRT(0.2/(2-0.2))</f>
        <v/>
      </c>
      <c r="M514" s="13">
        <f>C514-3*D514*SQRT(0.2/(2-0.2))</f>
        <v/>
      </c>
      <c r="N514" s="13">
        <f>MAX(0,N513+(B514-C514-0.5*D514))</f>
        <v/>
      </c>
      <c r="O514" s="13">
        <f>MIN(0,O513+(B514-C514+0.5*D514))</f>
        <v/>
      </c>
      <c r="P514">
        <f>IF(ABS(G514)&gt;1,P513+1,0)</f>
        <v/>
      </c>
      <c r="Q514">
        <f>IFS(OR(ABS(G514)&gt;3,N514&gt;5*D514,ABS(O514)&gt;5*D514,P514&gt;=5),"CRITICAL",OR(ABS(G514)&gt;2,P514&gt;=3,ABS(J514)&gt;3.5),"EARLY WARNING",ABS(G514)&gt;1,"WATCH",TRUE,"NORMAL")</f>
        <v/>
      </c>
    </row>
    <row r="515">
      <c r="A515" s="12" t="n">
        <v>45540</v>
      </c>
      <c r="B515" s="13">
        <f>Raw_Data!B515</f>
        <v/>
      </c>
      <c r="C515" s="13">
        <f>AVERAGE(B486:B515)</f>
        <v/>
      </c>
      <c r="D515" s="13">
        <f>STDEV.S(B486:B515)</f>
        <v/>
      </c>
      <c r="E515" s="13">
        <f>C515+3*D515</f>
        <v/>
      </c>
      <c r="F515" s="13">
        <f>C515-3*D515</f>
        <v/>
      </c>
      <c r="G515" s="15">
        <f>IF(D515=0,"",(B515-C515)/D515)</f>
        <v/>
      </c>
      <c r="H515" s="13">
        <f>MEDIAN(B486:B515)</f>
        <v/>
      </c>
      <c r="I515" s="13">
        <f>MEDIAN(ABS(B486:B515-H515))</f>
        <v/>
      </c>
      <c r="J515" s="15">
        <f>IF(I515=0,"",0.6745*(B515-H515)/I515)</f>
        <v/>
      </c>
      <c r="K515" s="13">
        <f>0.2*B515+0.8*K514</f>
        <v/>
      </c>
      <c r="L515" s="13">
        <f>C515+3*D515*SQRT(0.2/(2-0.2))</f>
        <v/>
      </c>
      <c r="M515" s="13">
        <f>C515-3*D515*SQRT(0.2/(2-0.2))</f>
        <v/>
      </c>
      <c r="N515" s="13">
        <f>MAX(0,N514+(B515-C515-0.5*D515))</f>
        <v/>
      </c>
      <c r="O515" s="13">
        <f>MIN(0,O514+(B515-C515+0.5*D515))</f>
        <v/>
      </c>
      <c r="P515">
        <f>IF(ABS(G515)&gt;1,P514+1,0)</f>
        <v/>
      </c>
      <c r="Q515">
        <f>IFS(OR(ABS(G515)&gt;3,N515&gt;5*D515,ABS(O515)&gt;5*D515,P515&gt;=5),"CRITICAL",OR(ABS(G515)&gt;2,P515&gt;=3,ABS(J515)&gt;3.5),"EARLY WARNING",ABS(G515)&gt;1,"WATCH",TRUE,"NORMAL")</f>
        <v/>
      </c>
    </row>
    <row r="516">
      <c r="A516" s="12" t="n">
        <v>45541</v>
      </c>
      <c r="B516" s="13">
        <f>Raw_Data!B516</f>
        <v/>
      </c>
      <c r="C516" s="13">
        <f>AVERAGE(B487:B516)</f>
        <v/>
      </c>
      <c r="D516" s="13">
        <f>STDEV.S(B487:B516)</f>
        <v/>
      </c>
      <c r="E516" s="13">
        <f>C516+3*D516</f>
        <v/>
      </c>
      <c r="F516" s="13">
        <f>C516-3*D516</f>
        <v/>
      </c>
      <c r="G516" s="15">
        <f>IF(D516=0,"",(B516-C516)/D516)</f>
        <v/>
      </c>
      <c r="H516" s="13">
        <f>MEDIAN(B487:B516)</f>
        <v/>
      </c>
      <c r="I516" s="13">
        <f>MEDIAN(ABS(B487:B516-H516))</f>
        <v/>
      </c>
      <c r="J516" s="15">
        <f>IF(I516=0,"",0.6745*(B516-H516)/I516)</f>
        <v/>
      </c>
      <c r="K516" s="13">
        <f>0.2*B516+0.8*K515</f>
        <v/>
      </c>
      <c r="L516" s="13">
        <f>C516+3*D516*SQRT(0.2/(2-0.2))</f>
        <v/>
      </c>
      <c r="M516" s="13">
        <f>C516-3*D516*SQRT(0.2/(2-0.2))</f>
        <v/>
      </c>
      <c r="N516" s="13">
        <f>MAX(0,N515+(B516-C516-0.5*D516))</f>
        <v/>
      </c>
      <c r="O516" s="13">
        <f>MIN(0,O515+(B516-C516+0.5*D516))</f>
        <v/>
      </c>
      <c r="P516">
        <f>IF(ABS(G516)&gt;1,P515+1,0)</f>
        <v/>
      </c>
      <c r="Q516">
        <f>IFS(OR(ABS(G516)&gt;3,N516&gt;5*D516,ABS(O516)&gt;5*D516,P516&gt;=5),"CRITICAL",OR(ABS(G516)&gt;2,P516&gt;=3,ABS(J516)&gt;3.5),"EARLY WARNING",ABS(G516)&gt;1,"WATCH",TRUE,"NORMAL")</f>
        <v/>
      </c>
    </row>
    <row r="517">
      <c r="A517" s="12" t="n">
        <v>45542</v>
      </c>
      <c r="B517" s="13">
        <f>Raw_Data!B517</f>
        <v/>
      </c>
      <c r="C517" s="13">
        <f>AVERAGE(B488:B517)</f>
        <v/>
      </c>
      <c r="D517" s="13">
        <f>STDEV.S(B488:B517)</f>
        <v/>
      </c>
      <c r="E517" s="13">
        <f>C517+3*D517</f>
        <v/>
      </c>
      <c r="F517" s="13">
        <f>C517-3*D517</f>
        <v/>
      </c>
      <c r="G517" s="15">
        <f>IF(D517=0,"",(B517-C517)/D517)</f>
        <v/>
      </c>
      <c r="H517" s="13">
        <f>MEDIAN(B488:B517)</f>
        <v/>
      </c>
      <c r="I517" s="13">
        <f>MEDIAN(ABS(B488:B517-H517))</f>
        <v/>
      </c>
      <c r="J517" s="15">
        <f>IF(I517=0,"",0.6745*(B517-H517)/I517)</f>
        <v/>
      </c>
      <c r="K517" s="13">
        <f>0.2*B517+0.8*K516</f>
        <v/>
      </c>
      <c r="L517" s="13">
        <f>C517+3*D517*SQRT(0.2/(2-0.2))</f>
        <v/>
      </c>
      <c r="M517" s="13">
        <f>C517-3*D517*SQRT(0.2/(2-0.2))</f>
        <v/>
      </c>
      <c r="N517" s="13">
        <f>MAX(0,N516+(B517-C517-0.5*D517))</f>
        <v/>
      </c>
      <c r="O517" s="13">
        <f>MIN(0,O516+(B517-C517+0.5*D517))</f>
        <v/>
      </c>
      <c r="P517">
        <f>IF(ABS(G517)&gt;1,P516+1,0)</f>
        <v/>
      </c>
      <c r="Q517">
        <f>IFS(OR(ABS(G517)&gt;3,N517&gt;5*D517,ABS(O517)&gt;5*D517,P517&gt;=5),"CRITICAL",OR(ABS(G517)&gt;2,P517&gt;=3,ABS(J517)&gt;3.5),"EARLY WARNING",ABS(G517)&gt;1,"WATCH",TRUE,"NORMAL")</f>
        <v/>
      </c>
    </row>
    <row r="518">
      <c r="A518" s="12" t="n">
        <v>45543</v>
      </c>
      <c r="B518" s="13">
        <f>Raw_Data!B518</f>
        <v/>
      </c>
      <c r="C518" s="13">
        <f>AVERAGE(B489:B518)</f>
        <v/>
      </c>
      <c r="D518" s="13">
        <f>STDEV.S(B489:B518)</f>
        <v/>
      </c>
      <c r="E518" s="13">
        <f>C518+3*D518</f>
        <v/>
      </c>
      <c r="F518" s="13">
        <f>C518-3*D518</f>
        <v/>
      </c>
      <c r="G518" s="15">
        <f>IF(D518=0,"",(B518-C518)/D518)</f>
        <v/>
      </c>
      <c r="H518" s="13">
        <f>MEDIAN(B489:B518)</f>
        <v/>
      </c>
      <c r="I518" s="13">
        <f>MEDIAN(ABS(B489:B518-H518))</f>
        <v/>
      </c>
      <c r="J518" s="15">
        <f>IF(I518=0,"",0.6745*(B518-H518)/I518)</f>
        <v/>
      </c>
      <c r="K518" s="13">
        <f>0.2*B518+0.8*K517</f>
        <v/>
      </c>
      <c r="L518" s="13">
        <f>C518+3*D518*SQRT(0.2/(2-0.2))</f>
        <v/>
      </c>
      <c r="M518" s="13">
        <f>C518-3*D518*SQRT(0.2/(2-0.2))</f>
        <v/>
      </c>
      <c r="N518" s="13">
        <f>MAX(0,N517+(B518-C518-0.5*D518))</f>
        <v/>
      </c>
      <c r="O518" s="13">
        <f>MIN(0,O517+(B518-C518+0.5*D518))</f>
        <v/>
      </c>
      <c r="P518">
        <f>IF(ABS(G518)&gt;1,P517+1,0)</f>
        <v/>
      </c>
      <c r="Q518">
        <f>IFS(OR(ABS(G518)&gt;3,N518&gt;5*D518,ABS(O518)&gt;5*D518,P518&gt;=5),"CRITICAL",OR(ABS(G518)&gt;2,P518&gt;=3,ABS(J518)&gt;3.5),"EARLY WARNING",ABS(G518)&gt;1,"WATCH",TRUE,"NORMAL")</f>
        <v/>
      </c>
    </row>
    <row r="519">
      <c r="A519" s="12" t="n">
        <v>45544</v>
      </c>
      <c r="B519" s="13">
        <f>Raw_Data!B519</f>
        <v/>
      </c>
      <c r="C519" s="13">
        <f>AVERAGE(B490:B519)</f>
        <v/>
      </c>
      <c r="D519" s="13">
        <f>STDEV.S(B490:B519)</f>
        <v/>
      </c>
      <c r="E519" s="13">
        <f>C519+3*D519</f>
        <v/>
      </c>
      <c r="F519" s="13">
        <f>C519-3*D519</f>
        <v/>
      </c>
      <c r="G519" s="15">
        <f>IF(D519=0,"",(B519-C519)/D519)</f>
        <v/>
      </c>
      <c r="H519" s="13">
        <f>MEDIAN(B490:B519)</f>
        <v/>
      </c>
      <c r="I519" s="13">
        <f>MEDIAN(ABS(B490:B519-H519))</f>
        <v/>
      </c>
      <c r="J519" s="15">
        <f>IF(I519=0,"",0.6745*(B519-H519)/I519)</f>
        <v/>
      </c>
      <c r="K519" s="13">
        <f>0.2*B519+0.8*K518</f>
        <v/>
      </c>
      <c r="L519" s="13">
        <f>C519+3*D519*SQRT(0.2/(2-0.2))</f>
        <v/>
      </c>
      <c r="M519" s="13">
        <f>C519-3*D519*SQRT(0.2/(2-0.2))</f>
        <v/>
      </c>
      <c r="N519" s="13">
        <f>MAX(0,N518+(B519-C519-0.5*D519))</f>
        <v/>
      </c>
      <c r="O519" s="13">
        <f>MIN(0,O518+(B519-C519+0.5*D519))</f>
        <v/>
      </c>
      <c r="P519">
        <f>IF(ABS(G519)&gt;1,P518+1,0)</f>
        <v/>
      </c>
      <c r="Q519">
        <f>IFS(OR(ABS(G519)&gt;3,N519&gt;5*D519,ABS(O519)&gt;5*D519,P519&gt;=5),"CRITICAL",OR(ABS(G519)&gt;2,P519&gt;=3,ABS(J519)&gt;3.5),"EARLY WARNING",ABS(G519)&gt;1,"WATCH",TRUE,"NORMAL")</f>
        <v/>
      </c>
    </row>
    <row r="520">
      <c r="A520" s="12" t="n">
        <v>45545</v>
      </c>
      <c r="B520" s="13">
        <f>Raw_Data!B520</f>
        <v/>
      </c>
      <c r="C520" s="13">
        <f>AVERAGE(B491:B520)</f>
        <v/>
      </c>
      <c r="D520" s="13">
        <f>STDEV.S(B491:B520)</f>
        <v/>
      </c>
      <c r="E520" s="13">
        <f>C520+3*D520</f>
        <v/>
      </c>
      <c r="F520" s="13">
        <f>C520-3*D520</f>
        <v/>
      </c>
      <c r="G520" s="15">
        <f>IF(D520=0,"",(B520-C520)/D520)</f>
        <v/>
      </c>
      <c r="H520" s="13">
        <f>MEDIAN(B491:B520)</f>
        <v/>
      </c>
      <c r="I520" s="13">
        <f>MEDIAN(ABS(B491:B520-H520))</f>
        <v/>
      </c>
      <c r="J520" s="15">
        <f>IF(I520=0,"",0.6745*(B520-H520)/I520)</f>
        <v/>
      </c>
      <c r="K520" s="13">
        <f>0.2*B520+0.8*K519</f>
        <v/>
      </c>
      <c r="L520" s="13">
        <f>C520+3*D520*SQRT(0.2/(2-0.2))</f>
        <v/>
      </c>
      <c r="M520" s="13">
        <f>C520-3*D520*SQRT(0.2/(2-0.2))</f>
        <v/>
      </c>
      <c r="N520" s="13">
        <f>MAX(0,N519+(B520-C520-0.5*D520))</f>
        <v/>
      </c>
      <c r="O520" s="13">
        <f>MIN(0,O519+(B520-C520+0.5*D520))</f>
        <v/>
      </c>
      <c r="P520">
        <f>IF(ABS(G520)&gt;1,P519+1,0)</f>
        <v/>
      </c>
      <c r="Q520">
        <f>IFS(OR(ABS(G520)&gt;3,N520&gt;5*D520,ABS(O520)&gt;5*D520,P520&gt;=5),"CRITICAL",OR(ABS(G520)&gt;2,P520&gt;=3,ABS(J520)&gt;3.5),"EARLY WARNING",ABS(G520)&gt;1,"WATCH",TRUE,"NORMAL")</f>
        <v/>
      </c>
    </row>
    <row r="521">
      <c r="A521" s="12" t="n">
        <v>45546</v>
      </c>
      <c r="B521" s="13">
        <f>Raw_Data!B521</f>
        <v/>
      </c>
      <c r="C521" s="13">
        <f>AVERAGE(B492:B521)</f>
        <v/>
      </c>
      <c r="D521" s="13">
        <f>STDEV.S(B492:B521)</f>
        <v/>
      </c>
      <c r="E521" s="13">
        <f>C521+3*D521</f>
        <v/>
      </c>
      <c r="F521" s="13">
        <f>C521-3*D521</f>
        <v/>
      </c>
      <c r="G521" s="15">
        <f>IF(D521=0,"",(B521-C521)/D521)</f>
        <v/>
      </c>
      <c r="H521" s="13">
        <f>MEDIAN(B492:B521)</f>
        <v/>
      </c>
      <c r="I521" s="13">
        <f>MEDIAN(ABS(B492:B521-H521))</f>
        <v/>
      </c>
      <c r="J521" s="15">
        <f>IF(I521=0,"",0.6745*(B521-H521)/I521)</f>
        <v/>
      </c>
      <c r="K521" s="13">
        <f>0.2*B521+0.8*K520</f>
        <v/>
      </c>
      <c r="L521" s="13">
        <f>C521+3*D521*SQRT(0.2/(2-0.2))</f>
        <v/>
      </c>
      <c r="M521" s="13">
        <f>C521-3*D521*SQRT(0.2/(2-0.2))</f>
        <v/>
      </c>
      <c r="N521" s="13">
        <f>MAX(0,N520+(B521-C521-0.5*D521))</f>
        <v/>
      </c>
      <c r="O521" s="13">
        <f>MIN(0,O520+(B521-C521+0.5*D521))</f>
        <v/>
      </c>
      <c r="P521">
        <f>IF(ABS(G521)&gt;1,P520+1,0)</f>
        <v/>
      </c>
      <c r="Q521">
        <f>IFS(OR(ABS(G521)&gt;3,N521&gt;5*D521,ABS(O521)&gt;5*D521,P521&gt;=5),"CRITICAL",OR(ABS(G521)&gt;2,P521&gt;=3,ABS(J521)&gt;3.5),"EARLY WARNING",ABS(G521)&gt;1,"WATCH",TRUE,"NORMAL")</f>
        <v/>
      </c>
    </row>
    <row r="522">
      <c r="A522" s="12" t="n">
        <v>45547</v>
      </c>
      <c r="B522" s="13">
        <f>Raw_Data!B522</f>
        <v/>
      </c>
      <c r="C522" s="13">
        <f>AVERAGE(B493:B522)</f>
        <v/>
      </c>
      <c r="D522" s="13">
        <f>STDEV.S(B493:B522)</f>
        <v/>
      </c>
      <c r="E522" s="13">
        <f>C522+3*D522</f>
        <v/>
      </c>
      <c r="F522" s="13">
        <f>C522-3*D522</f>
        <v/>
      </c>
      <c r="G522" s="15">
        <f>IF(D522=0,"",(B522-C522)/D522)</f>
        <v/>
      </c>
      <c r="H522" s="13">
        <f>MEDIAN(B493:B522)</f>
        <v/>
      </c>
      <c r="I522" s="13">
        <f>MEDIAN(ABS(B493:B522-H522))</f>
        <v/>
      </c>
      <c r="J522" s="15">
        <f>IF(I522=0,"",0.6745*(B522-H522)/I522)</f>
        <v/>
      </c>
      <c r="K522" s="13">
        <f>0.2*B522+0.8*K521</f>
        <v/>
      </c>
      <c r="L522" s="13">
        <f>C522+3*D522*SQRT(0.2/(2-0.2))</f>
        <v/>
      </c>
      <c r="M522" s="13">
        <f>C522-3*D522*SQRT(0.2/(2-0.2))</f>
        <v/>
      </c>
      <c r="N522" s="13">
        <f>MAX(0,N521+(B522-C522-0.5*D522))</f>
        <v/>
      </c>
      <c r="O522" s="13">
        <f>MIN(0,O521+(B522-C522+0.5*D522))</f>
        <v/>
      </c>
      <c r="P522">
        <f>IF(ABS(G522)&gt;1,P521+1,0)</f>
        <v/>
      </c>
      <c r="Q522">
        <f>IFS(OR(ABS(G522)&gt;3,N522&gt;5*D522,ABS(O522)&gt;5*D522,P522&gt;=5),"CRITICAL",OR(ABS(G522)&gt;2,P522&gt;=3,ABS(J522)&gt;3.5),"EARLY WARNING",ABS(G522)&gt;1,"WATCH",TRUE,"NORMAL")</f>
        <v/>
      </c>
    </row>
    <row r="523">
      <c r="A523" s="12" t="n">
        <v>45548</v>
      </c>
      <c r="B523" s="13">
        <f>Raw_Data!B523</f>
        <v/>
      </c>
      <c r="C523" s="13">
        <f>AVERAGE(B494:B523)</f>
        <v/>
      </c>
      <c r="D523" s="13">
        <f>STDEV.S(B494:B523)</f>
        <v/>
      </c>
      <c r="E523" s="13">
        <f>C523+3*D523</f>
        <v/>
      </c>
      <c r="F523" s="13">
        <f>C523-3*D523</f>
        <v/>
      </c>
      <c r="G523" s="15">
        <f>IF(D523=0,"",(B523-C523)/D523)</f>
        <v/>
      </c>
      <c r="H523" s="13">
        <f>MEDIAN(B494:B523)</f>
        <v/>
      </c>
      <c r="I523" s="13">
        <f>MEDIAN(ABS(B494:B523-H523))</f>
        <v/>
      </c>
      <c r="J523" s="15">
        <f>IF(I523=0,"",0.6745*(B523-H523)/I523)</f>
        <v/>
      </c>
      <c r="K523" s="13">
        <f>0.2*B523+0.8*K522</f>
        <v/>
      </c>
      <c r="L523" s="13">
        <f>C523+3*D523*SQRT(0.2/(2-0.2))</f>
        <v/>
      </c>
      <c r="M523" s="13">
        <f>C523-3*D523*SQRT(0.2/(2-0.2))</f>
        <v/>
      </c>
      <c r="N523" s="13">
        <f>MAX(0,N522+(B523-C523-0.5*D523))</f>
        <v/>
      </c>
      <c r="O523" s="13">
        <f>MIN(0,O522+(B523-C523+0.5*D523))</f>
        <v/>
      </c>
      <c r="P523">
        <f>IF(ABS(G523)&gt;1,P522+1,0)</f>
        <v/>
      </c>
      <c r="Q523">
        <f>IFS(OR(ABS(G523)&gt;3,N523&gt;5*D523,ABS(O523)&gt;5*D523,P523&gt;=5),"CRITICAL",OR(ABS(G523)&gt;2,P523&gt;=3,ABS(J523)&gt;3.5),"EARLY WARNING",ABS(G523)&gt;1,"WATCH",TRUE,"NORMAL")</f>
        <v/>
      </c>
    </row>
    <row r="524">
      <c r="A524" s="12" t="n">
        <v>45549</v>
      </c>
      <c r="B524" s="13">
        <f>Raw_Data!B524</f>
        <v/>
      </c>
      <c r="C524" s="13">
        <f>AVERAGE(B495:B524)</f>
        <v/>
      </c>
      <c r="D524" s="13">
        <f>STDEV.S(B495:B524)</f>
        <v/>
      </c>
      <c r="E524" s="13">
        <f>C524+3*D524</f>
        <v/>
      </c>
      <c r="F524" s="13">
        <f>C524-3*D524</f>
        <v/>
      </c>
      <c r="G524" s="15">
        <f>IF(D524=0,"",(B524-C524)/D524)</f>
        <v/>
      </c>
      <c r="H524" s="13">
        <f>MEDIAN(B495:B524)</f>
        <v/>
      </c>
      <c r="I524" s="13">
        <f>MEDIAN(ABS(B495:B524-H524))</f>
        <v/>
      </c>
      <c r="J524" s="15">
        <f>IF(I524=0,"",0.6745*(B524-H524)/I524)</f>
        <v/>
      </c>
      <c r="K524" s="13">
        <f>0.2*B524+0.8*K523</f>
        <v/>
      </c>
      <c r="L524" s="13">
        <f>C524+3*D524*SQRT(0.2/(2-0.2))</f>
        <v/>
      </c>
      <c r="M524" s="13">
        <f>C524-3*D524*SQRT(0.2/(2-0.2))</f>
        <v/>
      </c>
      <c r="N524" s="13">
        <f>MAX(0,N523+(B524-C524-0.5*D524))</f>
        <v/>
      </c>
      <c r="O524" s="13">
        <f>MIN(0,O523+(B524-C524+0.5*D524))</f>
        <v/>
      </c>
      <c r="P524">
        <f>IF(ABS(G524)&gt;1,P523+1,0)</f>
        <v/>
      </c>
      <c r="Q524">
        <f>IFS(OR(ABS(G524)&gt;3,N524&gt;5*D524,ABS(O524)&gt;5*D524,P524&gt;=5),"CRITICAL",OR(ABS(G524)&gt;2,P524&gt;=3,ABS(J524)&gt;3.5),"EARLY WARNING",ABS(G524)&gt;1,"WATCH",TRUE,"NORMAL")</f>
        <v/>
      </c>
    </row>
    <row r="525">
      <c r="A525" s="12" t="n">
        <v>45550</v>
      </c>
      <c r="B525" s="13">
        <f>Raw_Data!B525</f>
        <v/>
      </c>
      <c r="C525" s="13">
        <f>AVERAGE(B496:B525)</f>
        <v/>
      </c>
      <c r="D525" s="13">
        <f>STDEV.S(B496:B525)</f>
        <v/>
      </c>
      <c r="E525" s="13">
        <f>C525+3*D525</f>
        <v/>
      </c>
      <c r="F525" s="13">
        <f>C525-3*D525</f>
        <v/>
      </c>
      <c r="G525" s="15">
        <f>IF(D525=0,"",(B525-C525)/D525)</f>
        <v/>
      </c>
      <c r="H525" s="13">
        <f>MEDIAN(B496:B525)</f>
        <v/>
      </c>
      <c r="I525" s="13">
        <f>MEDIAN(ABS(B496:B525-H525))</f>
        <v/>
      </c>
      <c r="J525" s="15">
        <f>IF(I525=0,"",0.6745*(B525-H525)/I525)</f>
        <v/>
      </c>
      <c r="K525" s="13">
        <f>0.2*B525+0.8*K524</f>
        <v/>
      </c>
      <c r="L525" s="13">
        <f>C525+3*D525*SQRT(0.2/(2-0.2))</f>
        <v/>
      </c>
      <c r="M525" s="13">
        <f>C525-3*D525*SQRT(0.2/(2-0.2))</f>
        <v/>
      </c>
      <c r="N525" s="13">
        <f>MAX(0,N524+(B525-C525-0.5*D525))</f>
        <v/>
      </c>
      <c r="O525" s="13">
        <f>MIN(0,O524+(B525-C525+0.5*D525))</f>
        <v/>
      </c>
      <c r="P525">
        <f>IF(ABS(G525)&gt;1,P524+1,0)</f>
        <v/>
      </c>
      <c r="Q525">
        <f>IFS(OR(ABS(G525)&gt;3,N525&gt;5*D525,ABS(O525)&gt;5*D525,P525&gt;=5),"CRITICAL",OR(ABS(G525)&gt;2,P525&gt;=3,ABS(J525)&gt;3.5),"EARLY WARNING",ABS(G525)&gt;1,"WATCH",TRUE,"NORMAL")</f>
        <v/>
      </c>
    </row>
    <row r="526">
      <c r="A526" s="12" t="n">
        <v>45551</v>
      </c>
      <c r="B526" s="13">
        <f>Raw_Data!B526</f>
        <v/>
      </c>
      <c r="C526" s="13">
        <f>AVERAGE(B497:B526)</f>
        <v/>
      </c>
      <c r="D526" s="13">
        <f>STDEV.S(B497:B526)</f>
        <v/>
      </c>
      <c r="E526" s="13">
        <f>C526+3*D526</f>
        <v/>
      </c>
      <c r="F526" s="13">
        <f>C526-3*D526</f>
        <v/>
      </c>
      <c r="G526" s="15">
        <f>IF(D526=0,"",(B526-C526)/D526)</f>
        <v/>
      </c>
      <c r="H526" s="13">
        <f>MEDIAN(B497:B526)</f>
        <v/>
      </c>
      <c r="I526" s="13">
        <f>MEDIAN(ABS(B497:B526-H526))</f>
        <v/>
      </c>
      <c r="J526" s="15">
        <f>IF(I526=0,"",0.6745*(B526-H526)/I526)</f>
        <v/>
      </c>
      <c r="K526" s="13">
        <f>0.2*B526+0.8*K525</f>
        <v/>
      </c>
      <c r="L526" s="13">
        <f>C526+3*D526*SQRT(0.2/(2-0.2))</f>
        <v/>
      </c>
      <c r="M526" s="13">
        <f>C526-3*D526*SQRT(0.2/(2-0.2))</f>
        <v/>
      </c>
      <c r="N526" s="13">
        <f>MAX(0,N525+(B526-C526-0.5*D526))</f>
        <v/>
      </c>
      <c r="O526" s="13">
        <f>MIN(0,O525+(B526-C526+0.5*D526))</f>
        <v/>
      </c>
      <c r="P526">
        <f>IF(ABS(G526)&gt;1,P525+1,0)</f>
        <v/>
      </c>
      <c r="Q526">
        <f>IFS(OR(ABS(G526)&gt;3,N526&gt;5*D526,ABS(O526)&gt;5*D526,P526&gt;=5),"CRITICAL",OR(ABS(G526)&gt;2,P526&gt;=3,ABS(J526)&gt;3.5),"EARLY WARNING",ABS(G526)&gt;1,"WATCH",TRUE,"NORMAL")</f>
        <v/>
      </c>
    </row>
    <row r="527">
      <c r="A527" s="12" t="n">
        <v>45552</v>
      </c>
      <c r="B527" s="13">
        <f>Raw_Data!B527</f>
        <v/>
      </c>
      <c r="C527" s="13">
        <f>AVERAGE(B498:B527)</f>
        <v/>
      </c>
      <c r="D527" s="13">
        <f>STDEV.S(B498:B527)</f>
        <v/>
      </c>
      <c r="E527" s="13">
        <f>C527+3*D527</f>
        <v/>
      </c>
      <c r="F527" s="13">
        <f>C527-3*D527</f>
        <v/>
      </c>
      <c r="G527" s="15">
        <f>IF(D527=0,"",(B527-C527)/D527)</f>
        <v/>
      </c>
      <c r="H527" s="13">
        <f>MEDIAN(B498:B527)</f>
        <v/>
      </c>
      <c r="I527" s="13">
        <f>MEDIAN(ABS(B498:B527-H527))</f>
        <v/>
      </c>
      <c r="J527" s="15">
        <f>IF(I527=0,"",0.6745*(B527-H527)/I527)</f>
        <v/>
      </c>
      <c r="K527" s="13">
        <f>0.2*B527+0.8*K526</f>
        <v/>
      </c>
      <c r="L527" s="13">
        <f>C527+3*D527*SQRT(0.2/(2-0.2))</f>
        <v/>
      </c>
      <c r="M527" s="13">
        <f>C527-3*D527*SQRT(0.2/(2-0.2))</f>
        <v/>
      </c>
      <c r="N527" s="13">
        <f>MAX(0,N526+(B527-C527-0.5*D527))</f>
        <v/>
      </c>
      <c r="O527" s="13">
        <f>MIN(0,O526+(B527-C527+0.5*D527))</f>
        <v/>
      </c>
      <c r="P527">
        <f>IF(ABS(G527)&gt;1,P526+1,0)</f>
        <v/>
      </c>
      <c r="Q527">
        <f>IFS(OR(ABS(G527)&gt;3,N527&gt;5*D527,ABS(O527)&gt;5*D527,P527&gt;=5),"CRITICAL",OR(ABS(G527)&gt;2,P527&gt;=3,ABS(J527)&gt;3.5),"EARLY WARNING",ABS(G527)&gt;1,"WATCH",TRUE,"NORMAL")</f>
        <v/>
      </c>
    </row>
    <row r="528">
      <c r="A528" s="12" t="n">
        <v>45553</v>
      </c>
      <c r="B528" s="13">
        <f>Raw_Data!B528</f>
        <v/>
      </c>
      <c r="C528" s="13">
        <f>AVERAGE(B499:B528)</f>
        <v/>
      </c>
      <c r="D528" s="13">
        <f>STDEV.S(B499:B528)</f>
        <v/>
      </c>
      <c r="E528" s="13">
        <f>C528+3*D528</f>
        <v/>
      </c>
      <c r="F528" s="13">
        <f>C528-3*D528</f>
        <v/>
      </c>
      <c r="G528" s="15">
        <f>IF(D528=0,"",(B528-C528)/D528)</f>
        <v/>
      </c>
      <c r="H528" s="13">
        <f>MEDIAN(B499:B528)</f>
        <v/>
      </c>
      <c r="I528" s="13">
        <f>MEDIAN(ABS(B499:B528-H528))</f>
        <v/>
      </c>
      <c r="J528" s="15">
        <f>IF(I528=0,"",0.6745*(B528-H528)/I528)</f>
        <v/>
      </c>
      <c r="K528" s="13">
        <f>0.2*B528+0.8*K527</f>
        <v/>
      </c>
      <c r="L528" s="13">
        <f>C528+3*D528*SQRT(0.2/(2-0.2))</f>
        <v/>
      </c>
      <c r="M528" s="13">
        <f>C528-3*D528*SQRT(0.2/(2-0.2))</f>
        <v/>
      </c>
      <c r="N528" s="13">
        <f>MAX(0,N527+(B528-C528-0.5*D528))</f>
        <v/>
      </c>
      <c r="O528" s="13">
        <f>MIN(0,O527+(B528-C528+0.5*D528))</f>
        <v/>
      </c>
      <c r="P528">
        <f>IF(ABS(G528)&gt;1,P527+1,0)</f>
        <v/>
      </c>
      <c r="Q528">
        <f>IFS(OR(ABS(G528)&gt;3,N528&gt;5*D528,ABS(O528)&gt;5*D528,P528&gt;=5),"CRITICAL",OR(ABS(G528)&gt;2,P528&gt;=3,ABS(J528)&gt;3.5),"EARLY WARNING",ABS(G528)&gt;1,"WATCH",TRUE,"NORMAL")</f>
        <v/>
      </c>
    </row>
    <row r="529">
      <c r="A529" s="12" t="n">
        <v>45554</v>
      </c>
      <c r="B529" s="13">
        <f>Raw_Data!B529</f>
        <v/>
      </c>
      <c r="C529" s="13">
        <f>AVERAGE(B500:B529)</f>
        <v/>
      </c>
      <c r="D529" s="13">
        <f>STDEV.S(B500:B529)</f>
        <v/>
      </c>
      <c r="E529" s="13">
        <f>C529+3*D529</f>
        <v/>
      </c>
      <c r="F529" s="13">
        <f>C529-3*D529</f>
        <v/>
      </c>
      <c r="G529" s="15">
        <f>IF(D529=0,"",(B529-C529)/D529)</f>
        <v/>
      </c>
      <c r="H529" s="13">
        <f>MEDIAN(B500:B529)</f>
        <v/>
      </c>
      <c r="I529" s="13">
        <f>MEDIAN(ABS(B500:B529-H529))</f>
        <v/>
      </c>
      <c r="J529" s="15">
        <f>IF(I529=0,"",0.6745*(B529-H529)/I529)</f>
        <v/>
      </c>
      <c r="K529" s="13">
        <f>0.2*B529+0.8*K528</f>
        <v/>
      </c>
      <c r="L529" s="13">
        <f>C529+3*D529*SQRT(0.2/(2-0.2))</f>
        <v/>
      </c>
      <c r="M529" s="13">
        <f>C529-3*D529*SQRT(0.2/(2-0.2))</f>
        <v/>
      </c>
      <c r="N529" s="13">
        <f>MAX(0,N528+(B529-C529-0.5*D529))</f>
        <v/>
      </c>
      <c r="O529" s="13">
        <f>MIN(0,O528+(B529-C529+0.5*D529))</f>
        <v/>
      </c>
      <c r="P529">
        <f>IF(ABS(G529)&gt;1,P528+1,0)</f>
        <v/>
      </c>
      <c r="Q529">
        <f>IFS(OR(ABS(G529)&gt;3,N529&gt;5*D529,ABS(O529)&gt;5*D529,P529&gt;=5),"CRITICAL",OR(ABS(G529)&gt;2,P529&gt;=3,ABS(J529)&gt;3.5),"EARLY WARNING",ABS(G529)&gt;1,"WATCH",TRUE,"NORMAL")</f>
        <v/>
      </c>
    </row>
    <row r="530">
      <c r="A530" s="12" t="n">
        <v>45555</v>
      </c>
      <c r="B530" s="13">
        <f>Raw_Data!B530</f>
        <v/>
      </c>
      <c r="C530" s="13">
        <f>AVERAGE(B501:B530)</f>
        <v/>
      </c>
      <c r="D530" s="13">
        <f>STDEV.S(B501:B530)</f>
        <v/>
      </c>
      <c r="E530" s="13">
        <f>C530+3*D530</f>
        <v/>
      </c>
      <c r="F530" s="13">
        <f>C530-3*D530</f>
        <v/>
      </c>
      <c r="G530" s="15">
        <f>IF(D530=0,"",(B530-C530)/D530)</f>
        <v/>
      </c>
      <c r="H530" s="13">
        <f>MEDIAN(B501:B530)</f>
        <v/>
      </c>
      <c r="I530" s="13">
        <f>MEDIAN(ABS(B501:B530-H530))</f>
        <v/>
      </c>
      <c r="J530" s="15">
        <f>IF(I530=0,"",0.6745*(B530-H530)/I530)</f>
        <v/>
      </c>
      <c r="K530" s="13">
        <f>0.2*B530+0.8*K529</f>
        <v/>
      </c>
      <c r="L530" s="13">
        <f>C530+3*D530*SQRT(0.2/(2-0.2))</f>
        <v/>
      </c>
      <c r="M530" s="13">
        <f>C530-3*D530*SQRT(0.2/(2-0.2))</f>
        <v/>
      </c>
      <c r="N530" s="13">
        <f>MAX(0,N529+(B530-C530-0.5*D530))</f>
        <v/>
      </c>
      <c r="O530" s="13">
        <f>MIN(0,O529+(B530-C530+0.5*D530))</f>
        <v/>
      </c>
      <c r="P530">
        <f>IF(ABS(G530)&gt;1,P529+1,0)</f>
        <v/>
      </c>
      <c r="Q530">
        <f>IFS(OR(ABS(G530)&gt;3,N530&gt;5*D530,ABS(O530)&gt;5*D530,P530&gt;=5),"CRITICAL",OR(ABS(G530)&gt;2,P530&gt;=3,ABS(J530)&gt;3.5),"EARLY WARNING",ABS(G530)&gt;1,"WATCH",TRUE,"NORMAL")</f>
        <v/>
      </c>
    </row>
    <row r="531">
      <c r="A531" s="12" t="n">
        <v>45556</v>
      </c>
      <c r="B531" s="13">
        <f>Raw_Data!B531</f>
        <v/>
      </c>
      <c r="C531" s="13">
        <f>AVERAGE(B502:B531)</f>
        <v/>
      </c>
      <c r="D531" s="13">
        <f>STDEV.S(B502:B531)</f>
        <v/>
      </c>
      <c r="E531" s="13">
        <f>C531+3*D531</f>
        <v/>
      </c>
      <c r="F531" s="13">
        <f>C531-3*D531</f>
        <v/>
      </c>
      <c r="G531" s="15">
        <f>IF(D531=0,"",(B531-C531)/D531)</f>
        <v/>
      </c>
      <c r="H531" s="13">
        <f>MEDIAN(B502:B531)</f>
        <v/>
      </c>
      <c r="I531" s="13">
        <f>MEDIAN(ABS(B502:B531-H531))</f>
        <v/>
      </c>
      <c r="J531" s="15">
        <f>IF(I531=0,"",0.6745*(B531-H531)/I531)</f>
        <v/>
      </c>
      <c r="K531" s="13">
        <f>0.2*B531+0.8*K530</f>
        <v/>
      </c>
      <c r="L531" s="13">
        <f>C531+3*D531*SQRT(0.2/(2-0.2))</f>
        <v/>
      </c>
      <c r="M531" s="13">
        <f>C531-3*D531*SQRT(0.2/(2-0.2))</f>
        <v/>
      </c>
      <c r="N531" s="13">
        <f>MAX(0,N530+(B531-C531-0.5*D531))</f>
        <v/>
      </c>
      <c r="O531" s="13">
        <f>MIN(0,O530+(B531-C531+0.5*D531))</f>
        <v/>
      </c>
      <c r="P531">
        <f>IF(ABS(G531)&gt;1,P530+1,0)</f>
        <v/>
      </c>
      <c r="Q531">
        <f>IFS(OR(ABS(G531)&gt;3,N531&gt;5*D531,ABS(O531)&gt;5*D531,P531&gt;=5),"CRITICAL",OR(ABS(G531)&gt;2,P531&gt;=3,ABS(J531)&gt;3.5),"EARLY WARNING",ABS(G531)&gt;1,"WATCH",TRUE,"NORMAL")</f>
        <v/>
      </c>
    </row>
    <row r="532">
      <c r="A532" s="12" t="n">
        <v>45557</v>
      </c>
      <c r="B532" s="13">
        <f>Raw_Data!B532</f>
        <v/>
      </c>
      <c r="C532" s="13">
        <f>AVERAGE(B503:B532)</f>
        <v/>
      </c>
      <c r="D532" s="13">
        <f>STDEV.S(B503:B532)</f>
        <v/>
      </c>
      <c r="E532" s="13">
        <f>C532+3*D532</f>
        <v/>
      </c>
      <c r="F532" s="13">
        <f>C532-3*D532</f>
        <v/>
      </c>
      <c r="G532" s="15">
        <f>IF(D532=0,"",(B532-C532)/D532)</f>
        <v/>
      </c>
      <c r="H532" s="13">
        <f>MEDIAN(B503:B532)</f>
        <v/>
      </c>
      <c r="I532" s="13">
        <f>MEDIAN(ABS(B503:B532-H532))</f>
        <v/>
      </c>
      <c r="J532" s="15">
        <f>IF(I532=0,"",0.6745*(B532-H532)/I532)</f>
        <v/>
      </c>
      <c r="K532" s="13">
        <f>0.2*B532+0.8*K531</f>
        <v/>
      </c>
      <c r="L532" s="13">
        <f>C532+3*D532*SQRT(0.2/(2-0.2))</f>
        <v/>
      </c>
      <c r="M532" s="13">
        <f>C532-3*D532*SQRT(0.2/(2-0.2))</f>
        <v/>
      </c>
      <c r="N532" s="13">
        <f>MAX(0,N531+(B532-C532-0.5*D532))</f>
        <v/>
      </c>
      <c r="O532" s="13">
        <f>MIN(0,O531+(B532-C532+0.5*D532))</f>
        <v/>
      </c>
      <c r="P532">
        <f>IF(ABS(G532)&gt;1,P531+1,0)</f>
        <v/>
      </c>
      <c r="Q532">
        <f>IFS(OR(ABS(G532)&gt;3,N532&gt;5*D532,ABS(O532)&gt;5*D532,P532&gt;=5),"CRITICAL",OR(ABS(G532)&gt;2,P532&gt;=3,ABS(J532)&gt;3.5),"EARLY WARNING",ABS(G532)&gt;1,"WATCH",TRUE,"NORMAL")</f>
        <v/>
      </c>
    </row>
    <row r="533">
      <c r="A533" s="12" t="n">
        <v>45558</v>
      </c>
      <c r="B533" s="13">
        <f>Raw_Data!B533</f>
        <v/>
      </c>
      <c r="C533" s="13">
        <f>AVERAGE(B504:B533)</f>
        <v/>
      </c>
      <c r="D533" s="13">
        <f>STDEV.S(B504:B533)</f>
        <v/>
      </c>
      <c r="E533" s="13">
        <f>C533+3*D533</f>
        <v/>
      </c>
      <c r="F533" s="13">
        <f>C533-3*D533</f>
        <v/>
      </c>
      <c r="G533" s="15">
        <f>IF(D533=0,"",(B533-C533)/D533)</f>
        <v/>
      </c>
      <c r="H533" s="13">
        <f>MEDIAN(B504:B533)</f>
        <v/>
      </c>
      <c r="I533" s="13">
        <f>MEDIAN(ABS(B504:B533-H533))</f>
        <v/>
      </c>
      <c r="J533" s="15">
        <f>IF(I533=0,"",0.6745*(B533-H533)/I533)</f>
        <v/>
      </c>
      <c r="K533" s="13">
        <f>0.2*B533+0.8*K532</f>
        <v/>
      </c>
      <c r="L533" s="13">
        <f>C533+3*D533*SQRT(0.2/(2-0.2))</f>
        <v/>
      </c>
      <c r="M533" s="13">
        <f>C533-3*D533*SQRT(0.2/(2-0.2))</f>
        <v/>
      </c>
      <c r="N533" s="13">
        <f>MAX(0,N532+(B533-C533-0.5*D533))</f>
        <v/>
      </c>
      <c r="O533" s="13">
        <f>MIN(0,O532+(B533-C533+0.5*D533))</f>
        <v/>
      </c>
      <c r="P533">
        <f>IF(ABS(G533)&gt;1,P532+1,0)</f>
        <v/>
      </c>
      <c r="Q533">
        <f>IFS(OR(ABS(G533)&gt;3,N533&gt;5*D533,ABS(O533)&gt;5*D533,P533&gt;=5),"CRITICAL",OR(ABS(G533)&gt;2,P533&gt;=3,ABS(J533)&gt;3.5),"EARLY WARNING",ABS(G533)&gt;1,"WATCH",TRUE,"NORMAL")</f>
        <v/>
      </c>
    </row>
    <row r="534">
      <c r="A534" s="12" t="n">
        <v>45559</v>
      </c>
      <c r="B534" s="13">
        <f>Raw_Data!B534</f>
        <v/>
      </c>
      <c r="C534" s="13">
        <f>AVERAGE(B505:B534)</f>
        <v/>
      </c>
      <c r="D534" s="13">
        <f>STDEV.S(B505:B534)</f>
        <v/>
      </c>
      <c r="E534" s="13">
        <f>C534+3*D534</f>
        <v/>
      </c>
      <c r="F534" s="13">
        <f>C534-3*D534</f>
        <v/>
      </c>
      <c r="G534" s="15">
        <f>IF(D534=0,"",(B534-C534)/D534)</f>
        <v/>
      </c>
      <c r="H534" s="13">
        <f>MEDIAN(B505:B534)</f>
        <v/>
      </c>
      <c r="I534" s="13">
        <f>MEDIAN(ABS(B505:B534-H534))</f>
        <v/>
      </c>
      <c r="J534" s="15">
        <f>IF(I534=0,"",0.6745*(B534-H534)/I534)</f>
        <v/>
      </c>
      <c r="K534" s="13">
        <f>0.2*B534+0.8*K533</f>
        <v/>
      </c>
      <c r="L534" s="13">
        <f>C534+3*D534*SQRT(0.2/(2-0.2))</f>
        <v/>
      </c>
      <c r="M534" s="13">
        <f>C534-3*D534*SQRT(0.2/(2-0.2))</f>
        <v/>
      </c>
      <c r="N534" s="13">
        <f>MAX(0,N533+(B534-C534-0.5*D534))</f>
        <v/>
      </c>
      <c r="O534" s="13">
        <f>MIN(0,O533+(B534-C534+0.5*D534))</f>
        <v/>
      </c>
      <c r="P534">
        <f>IF(ABS(G534)&gt;1,P533+1,0)</f>
        <v/>
      </c>
      <c r="Q534">
        <f>IFS(OR(ABS(G534)&gt;3,N534&gt;5*D534,ABS(O534)&gt;5*D534,P534&gt;=5),"CRITICAL",OR(ABS(G534)&gt;2,P534&gt;=3,ABS(J534)&gt;3.5),"EARLY WARNING",ABS(G534)&gt;1,"WATCH",TRUE,"NORMAL")</f>
        <v/>
      </c>
    </row>
    <row r="535">
      <c r="A535" s="12" t="n">
        <v>45560</v>
      </c>
      <c r="B535" s="13">
        <f>Raw_Data!B535</f>
        <v/>
      </c>
      <c r="C535" s="13">
        <f>AVERAGE(B506:B535)</f>
        <v/>
      </c>
      <c r="D535" s="13">
        <f>STDEV.S(B506:B535)</f>
        <v/>
      </c>
      <c r="E535" s="13">
        <f>C535+3*D535</f>
        <v/>
      </c>
      <c r="F535" s="13">
        <f>C535-3*D535</f>
        <v/>
      </c>
      <c r="G535" s="15">
        <f>IF(D535=0,"",(B535-C535)/D535)</f>
        <v/>
      </c>
      <c r="H535" s="13">
        <f>MEDIAN(B506:B535)</f>
        <v/>
      </c>
      <c r="I535" s="13">
        <f>MEDIAN(ABS(B506:B535-H535))</f>
        <v/>
      </c>
      <c r="J535" s="15">
        <f>IF(I535=0,"",0.6745*(B535-H535)/I535)</f>
        <v/>
      </c>
      <c r="K535" s="13">
        <f>0.2*B535+0.8*K534</f>
        <v/>
      </c>
      <c r="L535" s="13">
        <f>C535+3*D535*SQRT(0.2/(2-0.2))</f>
        <v/>
      </c>
      <c r="M535" s="13">
        <f>C535-3*D535*SQRT(0.2/(2-0.2))</f>
        <v/>
      </c>
      <c r="N535" s="13">
        <f>MAX(0,N534+(B535-C535-0.5*D535))</f>
        <v/>
      </c>
      <c r="O535" s="13">
        <f>MIN(0,O534+(B535-C535+0.5*D535))</f>
        <v/>
      </c>
      <c r="P535">
        <f>IF(ABS(G535)&gt;1,P534+1,0)</f>
        <v/>
      </c>
      <c r="Q535">
        <f>IFS(OR(ABS(G535)&gt;3,N535&gt;5*D535,ABS(O535)&gt;5*D535,P535&gt;=5),"CRITICAL",OR(ABS(G535)&gt;2,P535&gt;=3,ABS(J535)&gt;3.5),"EARLY WARNING",ABS(G535)&gt;1,"WATCH",TRUE,"NORMAL")</f>
        <v/>
      </c>
    </row>
    <row r="536">
      <c r="A536" s="12" t="n">
        <v>45561</v>
      </c>
      <c r="B536" s="13">
        <f>Raw_Data!B536</f>
        <v/>
      </c>
      <c r="C536" s="13">
        <f>AVERAGE(B507:B536)</f>
        <v/>
      </c>
      <c r="D536" s="13">
        <f>STDEV.S(B507:B536)</f>
        <v/>
      </c>
      <c r="E536" s="13">
        <f>C536+3*D536</f>
        <v/>
      </c>
      <c r="F536" s="13">
        <f>C536-3*D536</f>
        <v/>
      </c>
      <c r="G536" s="15">
        <f>IF(D536=0,"",(B536-C536)/D536)</f>
        <v/>
      </c>
      <c r="H536" s="13">
        <f>MEDIAN(B507:B536)</f>
        <v/>
      </c>
      <c r="I536" s="13">
        <f>MEDIAN(ABS(B507:B536-H536))</f>
        <v/>
      </c>
      <c r="J536" s="15">
        <f>IF(I536=0,"",0.6745*(B536-H536)/I536)</f>
        <v/>
      </c>
      <c r="K536" s="13">
        <f>0.2*B536+0.8*K535</f>
        <v/>
      </c>
      <c r="L536" s="13">
        <f>C536+3*D536*SQRT(0.2/(2-0.2))</f>
        <v/>
      </c>
      <c r="M536" s="13">
        <f>C536-3*D536*SQRT(0.2/(2-0.2))</f>
        <v/>
      </c>
      <c r="N536" s="13">
        <f>MAX(0,N535+(B536-C536-0.5*D536))</f>
        <v/>
      </c>
      <c r="O536" s="13">
        <f>MIN(0,O535+(B536-C536+0.5*D536))</f>
        <v/>
      </c>
      <c r="P536">
        <f>IF(ABS(G536)&gt;1,P535+1,0)</f>
        <v/>
      </c>
      <c r="Q536">
        <f>IFS(OR(ABS(G536)&gt;3,N536&gt;5*D536,ABS(O536)&gt;5*D536,P536&gt;=5),"CRITICAL",OR(ABS(G536)&gt;2,P536&gt;=3,ABS(J536)&gt;3.5),"EARLY WARNING",ABS(G536)&gt;1,"WATCH",TRUE,"NORMAL")</f>
        <v/>
      </c>
    </row>
    <row r="537">
      <c r="A537" s="12" t="n">
        <v>45562</v>
      </c>
      <c r="B537" s="13">
        <f>Raw_Data!B537</f>
        <v/>
      </c>
      <c r="C537" s="13">
        <f>AVERAGE(B508:B537)</f>
        <v/>
      </c>
      <c r="D537" s="13">
        <f>STDEV.S(B508:B537)</f>
        <v/>
      </c>
      <c r="E537" s="13">
        <f>C537+3*D537</f>
        <v/>
      </c>
      <c r="F537" s="13">
        <f>C537-3*D537</f>
        <v/>
      </c>
      <c r="G537" s="15">
        <f>IF(D537=0,"",(B537-C537)/D537)</f>
        <v/>
      </c>
      <c r="H537" s="13">
        <f>MEDIAN(B508:B537)</f>
        <v/>
      </c>
      <c r="I537" s="13">
        <f>MEDIAN(ABS(B508:B537-H537))</f>
        <v/>
      </c>
      <c r="J537" s="15">
        <f>IF(I537=0,"",0.6745*(B537-H537)/I537)</f>
        <v/>
      </c>
      <c r="K537" s="13">
        <f>0.2*B537+0.8*K536</f>
        <v/>
      </c>
      <c r="L537" s="13">
        <f>C537+3*D537*SQRT(0.2/(2-0.2))</f>
        <v/>
      </c>
      <c r="M537" s="13">
        <f>C537-3*D537*SQRT(0.2/(2-0.2))</f>
        <v/>
      </c>
      <c r="N537" s="13">
        <f>MAX(0,N536+(B537-C537-0.5*D537))</f>
        <v/>
      </c>
      <c r="O537" s="13">
        <f>MIN(0,O536+(B537-C537+0.5*D537))</f>
        <v/>
      </c>
      <c r="P537">
        <f>IF(ABS(G537)&gt;1,P536+1,0)</f>
        <v/>
      </c>
      <c r="Q537">
        <f>IFS(OR(ABS(G537)&gt;3,N537&gt;5*D537,ABS(O537)&gt;5*D537,P537&gt;=5),"CRITICAL",OR(ABS(G537)&gt;2,P537&gt;=3,ABS(J537)&gt;3.5),"EARLY WARNING",ABS(G537)&gt;1,"WATCH",TRUE,"NORMAL")</f>
        <v/>
      </c>
    </row>
    <row r="538">
      <c r="A538" s="12" t="n">
        <v>45563</v>
      </c>
      <c r="B538" s="13">
        <f>Raw_Data!B538</f>
        <v/>
      </c>
      <c r="C538" s="13">
        <f>AVERAGE(B509:B538)</f>
        <v/>
      </c>
      <c r="D538" s="13">
        <f>STDEV.S(B509:B538)</f>
        <v/>
      </c>
      <c r="E538" s="13">
        <f>C538+3*D538</f>
        <v/>
      </c>
      <c r="F538" s="13">
        <f>C538-3*D538</f>
        <v/>
      </c>
      <c r="G538" s="15">
        <f>IF(D538=0,"",(B538-C538)/D538)</f>
        <v/>
      </c>
      <c r="H538" s="13">
        <f>MEDIAN(B509:B538)</f>
        <v/>
      </c>
      <c r="I538" s="13">
        <f>MEDIAN(ABS(B509:B538-H538))</f>
        <v/>
      </c>
      <c r="J538" s="15">
        <f>IF(I538=0,"",0.6745*(B538-H538)/I538)</f>
        <v/>
      </c>
      <c r="K538" s="13">
        <f>0.2*B538+0.8*K537</f>
        <v/>
      </c>
      <c r="L538" s="13">
        <f>C538+3*D538*SQRT(0.2/(2-0.2))</f>
        <v/>
      </c>
      <c r="M538" s="13">
        <f>C538-3*D538*SQRT(0.2/(2-0.2))</f>
        <v/>
      </c>
      <c r="N538" s="13">
        <f>MAX(0,N537+(B538-C538-0.5*D538))</f>
        <v/>
      </c>
      <c r="O538" s="13">
        <f>MIN(0,O537+(B538-C538+0.5*D538))</f>
        <v/>
      </c>
      <c r="P538">
        <f>IF(ABS(G538)&gt;1,P537+1,0)</f>
        <v/>
      </c>
      <c r="Q538">
        <f>IFS(OR(ABS(G538)&gt;3,N538&gt;5*D538,ABS(O538)&gt;5*D538,P538&gt;=5),"CRITICAL",OR(ABS(G538)&gt;2,P538&gt;=3,ABS(J538)&gt;3.5),"EARLY WARNING",ABS(G538)&gt;1,"WATCH",TRUE,"NORMAL")</f>
        <v/>
      </c>
    </row>
    <row r="539">
      <c r="A539" s="12" t="n">
        <v>45564</v>
      </c>
      <c r="B539" s="13">
        <f>Raw_Data!B539</f>
        <v/>
      </c>
      <c r="C539" s="13">
        <f>AVERAGE(B510:B539)</f>
        <v/>
      </c>
      <c r="D539" s="13">
        <f>STDEV.S(B510:B539)</f>
        <v/>
      </c>
      <c r="E539" s="13">
        <f>C539+3*D539</f>
        <v/>
      </c>
      <c r="F539" s="13">
        <f>C539-3*D539</f>
        <v/>
      </c>
      <c r="G539" s="15">
        <f>IF(D539=0,"",(B539-C539)/D539)</f>
        <v/>
      </c>
      <c r="H539" s="13">
        <f>MEDIAN(B510:B539)</f>
        <v/>
      </c>
      <c r="I539" s="13">
        <f>MEDIAN(ABS(B510:B539-H539))</f>
        <v/>
      </c>
      <c r="J539" s="15">
        <f>IF(I539=0,"",0.6745*(B539-H539)/I539)</f>
        <v/>
      </c>
      <c r="K539" s="13">
        <f>0.2*B539+0.8*K538</f>
        <v/>
      </c>
      <c r="L539" s="13">
        <f>C539+3*D539*SQRT(0.2/(2-0.2))</f>
        <v/>
      </c>
      <c r="M539" s="13">
        <f>C539-3*D539*SQRT(0.2/(2-0.2))</f>
        <v/>
      </c>
      <c r="N539" s="13">
        <f>MAX(0,N538+(B539-C539-0.5*D539))</f>
        <v/>
      </c>
      <c r="O539" s="13">
        <f>MIN(0,O538+(B539-C539+0.5*D539))</f>
        <v/>
      </c>
      <c r="P539">
        <f>IF(ABS(G539)&gt;1,P538+1,0)</f>
        <v/>
      </c>
      <c r="Q539">
        <f>IFS(OR(ABS(G539)&gt;3,N539&gt;5*D539,ABS(O539)&gt;5*D539,P539&gt;=5),"CRITICAL",OR(ABS(G539)&gt;2,P539&gt;=3,ABS(J539)&gt;3.5),"EARLY WARNING",ABS(G539)&gt;1,"WATCH",TRUE,"NORMAL")</f>
        <v/>
      </c>
    </row>
    <row r="540">
      <c r="A540" s="12" t="n">
        <v>45565</v>
      </c>
      <c r="B540" s="13">
        <f>Raw_Data!B540</f>
        <v/>
      </c>
      <c r="C540" s="13">
        <f>AVERAGE(B511:B540)</f>
        <v/>
      </c>
      <c r="D540" s="13">
        <f>STDEV.S(B511:B540)</f>
        <v/>
      </c>
      <c r="E540" s="13">
        <f>C540+3*D540</f>
        <v/>
      </c>
      <c r="F540" s="13">
        <f>C540-3*D540</f>
        <v/>
      </c>
      <c r="G540" s="15">
        <f>IF(D540=0,"",(B540-C540)/D540)</f>
        <v/>
      </c>
      <c r="H540" s="13">
        <f>MEDIAN(B511:B540)</f>
        <v/>
      </c>
      <c r="I540" s="13">
        <f>MEDIAN(ABS(B511:B540-H540))</f>
        <v/>
      </c>
      <c r="J540" s="15">
        <f>IF(I540=0,"",0.6745*(B540-H540)/I540)</f>
        <v/>
      </c>
      <c r="K540" s="13">
        <f>0.2*B540+0.8*K539</f>
        <v/>
      </c>
      <c r="L540" s="13">
        <f>C540+3*D540*SQRT(0.2/(2-0.2))</f>
        <v/>
      </c>
      <c r="M540" s="13">
        <f>C540-3*D540*SQRT(0.2/(2-0.2))</f>
        <v/>
      </c>
      <c r="N540" s="13">
        <f>MAX(0,N539+(B540-C540-0.5*D540))</f>
        <v/>
      </c>
      <c r="O540" s="13">
        <f>MIN(0,O539+(B540-C540+0.5*D540))</f>
        <v/>
      </c>
      <c r="P540">
        <f>IF(ABS(G540)&gt;1,P539+1,0)</f>
        <v/>
      </c>
      <c r="Q540">
        <f>IFS(OR(ABS(G540)&gt;3,N540&gt;5*D540,ABS(O540)&gt;5*D540,P540&gt;=5),"CRITICAL",OR(ABS(G540)&gt;2,P540&gt;=3,ABS(J540)&gt;3.5),"EARLY WARNING",ABS(G540)&gt;1,"WATCH",TRUE,"NORMAL")</f>
        <v/>
      </c>
    </row>
    <row r="541">
      <c r="A541" s="12" t="n">
        <v>45566</v>
      </c>
      <c r="B541" s="13">
        <f>Raw_Data!B541</f>
        <v/>
      </c>
      <c r="C541" s="13">
        <f>AVERAGE(B512:B541)</f>
        <v/>
      </c>
      <c r="D541" s="13">
        <f>STDEV.S(B512:B541)</f>
        <v/>
      </c>
      <c r="E541" s="13">
        <f>C541+3*D541</f>
        <v/>
      </c>
      <c r="F541" s="13">
        <f>C541-3*D541</f>
        <v/>
      </c>
      <c r="G541" s="15">
        <f>IF(D541=0,"",(B541-C541)/D541)</f>
        <v/>
      </c>
      <c r="H541" s="13">
        <f>MEDIAN(B512:B541)</f>
        <v/>
      </c>
      <c r="I541" s="13">
        <f>MEDIAN(ABS(B512:B541-H541))</f>
        <v/>
      </c>
      <c r="J541" s="15">
        <f>IF(I541=0,"",0.6745*(B541-H541)/I541)</f>
        <v/>
      </c>
      <c r="K541" s="13">
        <f>0.2*B541+0.8*K540</f>
        <v/>
      </c>
      <c r="L541" s="13">
        <f>C541+3*D541*SQRT(0.2/(2-0.2))</f>
        <v/>
      </c>
      <c r="M541" s="13">
        <f>C541-3*D541*SQRT(0.2/(2-0.2))</f>
        <v/>
      </c>
      <c r="N541" s="13">
        <f>MAX(0,N540+(B541-C541-0.5*D541))</f>
        <v/>
      </c>
      <c r="O541" s="13">
        <f>MIN(0,O540+(B541-C541+0.5*D541))</f>
        <v/>
      </c>
      <c r="P541">
        <f>IF(ABS(G541)&gt;1,P540+1,0)</f>
        <v/>
      </c>
      <c r="Q541">
        <f>IFS(OR(ABS(G541)&gt;3,N541&gt;5*D541,ABS(O541)&gt;5*D541,P541&gt;=5),"CRITICAL",OR(ABS(G541)&gt;2,P541&gt;=3,ABS(J541)&gt;3.5),"EARLY WARNING",ABS(G541)&gt;1,"WATCH",TRUE,"NORMAL")</f>
        <v/>
      </c>
    </row>
    <row r="542">
      <c r="A542" s="12" t="n">
        <v>45567</v>
      </c>
      <c r="B542" s="13">
        <f>Raw_Data!B542</f>
        <v/>
      </c>
      <c r="C542" s="13">
        <f>AVERAGE(B513:B542)</f>
        <v/>
      </c>
      <c r="D542" s="13">
        <f>STDEV.S(B513:B542)</f>
        <v/>
      </c>
      <c r="E542" s="13">
        <f>C542+3*D542</f>
        <v/>
      </c>
      <c r="F542" s="13">
        <f>C542-3*D542</f>
        <v/>
      </c>
      <c r="G542" s="15">
        <f>IF(D542=0,"",(B542-C542)/D542)</f>
        <v/>
      </c>
      <c r="H542" s="13">
        <f>MEDIAN(B513:B542)</f>
        <v/>
      </c>
      <c r="I542" s="13">
        <f>MEDIAN(ABS(B513:B542-H542))</f>
        <v/>
      </c>
      <c r="J542" s="15">
        <f>IF(I542=0,"",0.6745*(B542-H542)/I542)</f>
        <v/>
      </c>
      <c r="K542" s="13">
        <f>0.2*B542+0.8*K541</f>
        <v/>
      </c>
      <c r="L542" s="13">
        <f>C542+3*D542*SQRT(0.2/(2-0.2))</f>
        <v/>
      </c>
      <c r="M542" s="13">
        <f>C542-3*D542*SQRT(0.2/(2-0.2))</f>
        <v/>
      </c>
      <c r="N542" s="13">
        <f>MAX(0,N541+(B542-C542-0.5*D542))</f>
        <v/>
      </c>
      <c r="O542" s="13">
        <f>MIN(0,O541+(B542-C542+0.5*D542))</f>
        <v/>
      </c>
      <c r="P542">
        <f>IF(ABS(G542)&gt;1,P541+1,0)</f>
        <v/>
      </c>
      <c r="Q542">
        <f>IFS(OR(ABS(G542)&gt;3,N542&gt;5*D542,ABS(O542)&gt;5*D542,P542&gt;=5),"CRITICAL",OR(ABS(G542)&gt;2,P542&gt;=3,ABS(J542)&gt;3.5),"EARLY WARNING",ABS(G542)&gt;1,"WATCH",TRUE,"NORMAL")</f>
        <v/>
      </c>
    </row>
    <row r="543">
      <c r="A543" s="12" t="n">
        <v>45568</v>
      </c>
      <c r="B543" s="13">
        <f>Raw_Data!B543</f>
        <v/>
      </c>
      <c r="C543" s="13">
        <f>AVERAGE(B514:B543)</f>
        <v/>
      </c>
      <c r="D543" s="13">
        <f>STDEV.S(B514:B543)</f>
        <v/>
      </c>
      <c r="E543" s="13">
        <f>C543+3*D543</f>
        <v/>
      </c>
      <c r="F543" s="13">
        <f>C543-3*D543</f>
        <v/>
      </c>
      <c r="G543" s="15">
        <f>IF(D543=0,"",(B543-C543)/D543)</f>
        <v/>
      </c>
      <c r="H543" s="13">
        <f>MEDIAN(B514:B543)</f>
        <v/>
      </c>
      <c r="I543" s="13">
        <f>MEDIAN(ABS(B514:B543-H543))</f>
        <v/>
      </c>
      <c r="J543" s="15">
        <f>IF(I543=0,"",0.6745*(B543-H543)/I543)</f>
        <v/>
      </c>
      <c r="K543" s="13">
        <f>0.2*B543+0.8*K542</f>
        <v/>
      </c>
      <c r="L543" s="13">
        <f>C543+3*D543*SQRT(0.2/(2-0.2))</f>
        <v/>
      </c>
      <c r="M543" s="13">
        <f>C543-3*D543*SQRT(0.2/(2-0.2))</f>
        <v/>
      </c>
      <c r="N543" s="13">
        <f>MAX(0,N542+(B543-C543-0.5*D543))</f>
        <v/>
      </c>
      <c r="O543" s="13">
        <f>MIN(0,O542+(B543-C543+0.5*D543))</f>
        <v/>
      </c>
      <c r="P543">
        <f>IF(ABS(G543)&gt;1,P542+1,0)</f>
        <v/>
      </c>
      <c r="Q543">
        <f>IFS(OR(ABS(G543)&gt;3,N543&gt;5*D543,ABS(O543)&gt;5*D543,P543&gt;=5),"CRITICAL",OR(ABS(G543)&gt;2,P543&gt;=3,ABS(J543)&gt;3.5),"EARLY WARNING",ABS(G543)&gt;1,"WATCH",TRUE,"NORMAL")</f>
        <v/>
      </c>
    </row>
    <row r="544">
      <c r="A544" s="12" t="n">
        <v>45569</v>
      </c>
      <c r="B544" s="13">
        <f>Raw_Data!B544</f>
        <v/>
      </c>
      <c r="C544" s="13">
        <f>AVERAGE(B515:B544)</f>
        <v/>
      </c>
      <c r="D544" s="13">
        <f>STDEV.S(B515:B544)</f>
        <v/>
      </c>
      <c r="E544" s="13">
        <f>C544+3*D544</f>
        <v/>
      </c>
      <c r="F544" s="13">
        <f>C544-3*D544</f>
        <v/>
      </c>
      <c r="G544" s="15">
        <f>IF(D544=0,"",(B544-C544)/D544)</f>
        <v/>
      </c>
      <c r="H544" s="13">
        <f>MEDIAN(B515:B544)</f>
        <v/>
      </c>
      <c r="I544" s="13">
        <f>MEDIAN(ABS(B515:B544-H544))</f>
        <v/>
      </c>
      <c r="J544" s="15">
        <f>IF(I544=0,"",0.6745*(B544-H544)/I544)</f>
        <v/>
      </c>
      <c r="K544" s="13">
        <f>0.2*B544+0.8*K543</f>
        <v/>
      </c>
      <c r="L544" s="13">
        <f>C544+3*D544*SQRT(0.2/(2-0.2))</f>
        <v/>
      </c>
      <c r="M544" s="13">
        <f>C544-3*D544*SQRT(0.2/(2-0.2))</f>
        <v/>
      </c>
      <c r="N544" s="13">
        <f>MAX(0,N543+(B544-C544-0.5*D544))</f>
        <v/>
      </c>
      <c r="O544" s="13">
        <f>MIN(0,O543+(B544-C544+0.5*D544))</f>
        <v/>
      </c>
      <c r="P544">
        <f>IF(ABS(G544)&gt;1,P543+1,0)</f>
        <v/>
      </c>
      <c r="Q544">
        <f>IFS(OR(ABS(G544)&gt;3,N544&gt;5*D544,ABS(O544)&gt;5*D544,P544&gt;=5),"CRITICAL",OR(ABS(G544)&gt;2,P544&gt;=3,ABS(J544)&gt;3.5),"EARLY WARNING",ABS(G544)&gt;1,"WATCH",TRUE,"NORMAL")</f>
        <v/>
      </c>
    </row>
    <row r="545">
      <c r="A545" s="12" t="n">
        <v>45570</v>
      </c>
      <c r="B545" s="13">
        <f>Raw_Data!B545</f>
        <v/>
      </c>
      <c r="C545" s="13">
        <f>AVERAGE(B516:B545)</f>
        <v/>
      </c>
      <c r="D545" s="13">
        <f>STDEV.S(B516:B545)</f>
        <v/>
      </c>
      <c r="E545" s="13">
        <f>C545+3*D545</f>
        <v/>
      </c>
      <c r="F545" s="13">
        <f>C545-3*D545</f>
        <v/>
      </c>
      <c r="G545" s="15">
        <f>IF(D545=0,"",(B545-C545)/D545)</f>
        <v/>
      </c>
      <c r="H545" s="13">
        <f>MEDIAN(B516:B545)</f>
        <v/>
      </c>
      <c r="I545" s="13">
        <f>MEDIAN(ABS(B516:B545-H545))</f>
        <v/>
      </c>
      <c r="J545" s="15">
        <f>IF(I545=0,"",0.6745*(B545-H545)/I545)</f>
        <v/>
      </c>
      <c r="K545" s="13">
        <f>0.2*B545+0.8*K544</f>
        <v/>
      </c>
      <c r="L545" s="13">
        <f>C545+3*D545*SQRT(0.2/(2-0.2))</f>
        <v/>
      </c>
      <c r="M545" s="13">
        <f>C545-3*D545*SQRT(0.2/(2-0.2))</f>
        <v/>
      </c>
      <c r="N545" s="13">
        <f>MAX(0,N544+(B545-C545-0.5*D545))</f>
        <v/>
      </c>
      <c r="O545" s="13">
        <f>MIN(0,O544+(B545-C545+0.5*D545))</f>
        <v/>
      </c>
      <c r="P545">
        <f>IF(ABS(G545)&gt;1,P544+1,0)</f>
        <v/>
      </c>
      <c r="Q545">
        <f>IFS(OR(ABS(G545)&gt;3,N545&gt;5*D545,ABS(O545)&gt;5*D545,P545&gt;=5),"CRITICAL",OR(ABS(G545)&gt;2,P545&gt;=3,ABS(J545)&gt;3.5),"EARLY WARNING",ABS(G545)&gt;1,"WATCH",TRUE,"NORMAL")</f>
        <v/>
      </c>
    </row>
    <row r="546">
      <c r="A546" s="12" t="n">
        <v>45571</v>
      </c>
      <c r="B546" s="13">
        <f>Raw_Data!B546</f>
        <v/>
      </c>
      <c r="C546" s="13">
        <f>AVERAGE(B517:B546)</f>
        <v/>
      </c>
      <c r="D546" s="13">
        <f>STDEV.S(B517:B546)</f>
        <v/>
      </c>
      <c r="E546" s="13">
        <f>C546+3*D546</f>
        <v/>
      </c>
      <c r="F546" s="13">
        <f>C546-3*D546</f>
        <v/>
      </c>
      <c r="G546" s="15">
        <f>IF(D546=0,"",(B546-C546)/D546)</f>
        <v/>
      </c>
      <c r="H546" s="13">
        <f>MEDIAN(B517:B546)</f>
        <v/>
      </c>
      <c r="I546" s="13">
        <f>MEDIAN(ABS(B517:B546-H546))</f>
        <v/>
      </c>
      <c r="J546" s="15">
        <f>IF(I546=0,"",0.6745*(B546-H546)/I546)</f>
        <v/>
      </c>
      <c r="K546" s="13">
        <f>0.2*B546+0.8*K545</f>
        <v/>
      </c>
      <c r="L546" s="13">
        <f>C546+3*D546*SQRT(0.2/(2-0.2))</f>
        <v/>
      </c>
      <c r="M546" s="13">
        <f>C546-3*D546*SQRT(0.2/(2-0.2))</f>
        <v/>
      </c>
      <c r="N546" s="13">
        <f>MAX(0,N545+(B546-C546-0.5*D546))</f>
        <v/>
      </c>
      <c r="O546" s="13">
        <f>MIN(0,O545+(B546-C546+0.5*D546))</f>
        <v/>
      </c>
      <c r="P546">
        <f>IF(ABS(G546)&gt;1,P545+1,0)</f>
        <v/>
      </c>
      <c r="Q546">
        <f>IFS(OR(ABS(G546)&gt;3,N546&gt;5*D546,ABS(O546)&gt;5*D546,P546&gt;=5),"CRITICAL",OR(ABS(G546)&gt;2,P546&gt;=3,ABS(J546)&gt;3.5),"EARLY WARNING",ABS(G546)&gt;1,"WATCH",TRUE,"NORMAL")</f>
        <v/>
      </c>
    </row>
    <row r="547">
      <c r="A547" s="12" t="n">
        <v>45572</v>
      </c>
      <c r="B547" s="13">
        <f>Raw_Data!B547</f>
        <v/>
      </c>
      <c r="C547" s="13">
        <f>AVERAGE(B518:B547)</f>
        <v/>
      </c>
      <c r="D547" s="13">
        <f>STDEV.S(B518:B547)</f>
        <v/>
      </c>
      <c r="E547" s="13">
        <f>C547+3*D547</f>
        <v/>
      </c>
      <c r="F547" s="13">
        <f>C547-3*D547</f>
        <v/>
      </c>
      <c r="G547" s="15">
        <f>IF(D547=0,"",(B547-C547)/D547)</f>
        <v/>
      </c>
      <c r="H547" s="13">
        <f>MEDIAN(B518:B547)</f>
        <v/>
      </c>
      <c r="I547" s="13">
        <f>MEDIAN(ABS(B518:B547-H547))</f>
        <v/>
      </c>
      <c r="J547" s="15">
        <f>IF(I547=0,"",0.6745*(B547-H547)/I547)</f>
        <v/>
      </c>
      <c r="K547" s="13">
        <f>0.2*B547+0.8*K546</f>
        <v/>
      </c>
      <c r="L547" s="13">
        <f>C547+3*D547*SQRT(0.2/(2-0.2))</f>
        <v/>
      </c>
      <c r="M547" s="13">
        <f>C547-3*D547*SQRT(0.2/(2-0.2))</f>
        <v/>
      </c>
      <c r="N547" s="13">
        <f>MAX(0,N546+(B547-C547-0.5*D547))</f>
        <v/>
      </c>
      <c r="O547" s="13">
        <f>MIN(0,O546+(B547-C547+0.5*D547))</f>
        <v/>
      </c>
      <c r="P547">
        <f>IF(ABS(G547)&gt;1,P546+1,0)</f>
        <v/>
      </c>
      <c r="Q547">
        <f>IFS(OR(ABS(G547)&gt;3,N547&gt;5*D547,ABS(O547)&gt;5*D547,P547&gt;=5),"CRITICAL",OR(ABS(G547)&gt;2,P547&gt;=3,ABS(J547)&gt;3.5),"EARLY WARNING",ABS(G547)&gt;1,"WATCH",TRUE,"NORMAL")</f>
        <v/>
      </c>
    </row>
    <row r="548">
      <c r="A548" s="12" t="n">
        <v>45573</v>
      </c>
      <c r="B548" s="13">
        <f>Raw_Data!B548</f>
        <v/>
      </c>
      <c r="C548" s="13">
        <f>AVERAGE(B519:B548)</f>
        <v/>
      </c>
      <c r="D548" s="13">
        <f>STDEV.S(B519:B548)</f>
        <v/>
      </c>
      <c r="E548" s="13">
        <f>C548+3*D548</f>
        <v/>
      </c>
      <c r="F548" s="13">
        <f>C548-3*D548</f>
        <v/>
      </c>
      <c r="G548" s="15">
        <f>IF(D548=0,"",(B548-C548)/D548)</f>
        <v/>
      </c>
      <c r="H548" s="13">
        <f>MEDIAN(B519:B548)</f>
        <v/>
      </c>
      <c r="I548" s="13">
        <f>MEDIAN(ABS(B519:B548-H548))</f>
        <v/>
      </c>
      <c r="J548" s="15">
        <f>IF(I548=0,"",0.6745*(B548-H548)/I548)</f>
        <v/>
      </c>
      <c r="K548" s="13">
        <f>0.2*B548+0.8*K547</f>
        <v/>
      </c>
      <c r="L548" s="13">
        <f>C548+3*D548*SQRT(0.2/(2-0.2))</f>
        <v/>
      </c>
      <c r="M548" s="13">
        <f>C548-3*D548*SQRT(0.2/(2-0.2))</f>
        <v/>
      </c>
      <c r="N548" s="13">
        <f>MAX(0,N547+(B548-C548-0.5*D548))</f>
        <v/>
      </c>
      <c r="O548" s="13">
        <f>MIN(0,O547+(B548-C548+0.5*D548))</f>
        <v/>
      </c>
      <c r="P548">
        <f>IF(ABS(G548)&gt;1,P547+1,0)</f>
        <v/>
      </c>
      <c r="Q548">
        <f>IFS(OR(ABS(G548)&gt;3,N548&gt;5*D548,ABS(O548)&gt;5*D548,P548&gt;=5),"CRITICAL",OR(ABS(G548)&gt;2,P548&gt;=3,ABS(J548)&gt;3.5),"EARLY WARNING",ABS(G548)&gt;1,"WATCH",TRUE,"NORMAL")</f>
        <v/>
      </c>
    </row>
    <row r="549">
      <c r="A549" s="12" t="n">
        <v>45574</v>
      </c>
      <c r="B549" s="13">
        <f>Raw_Data!B549</f>
        <v/>
      </c>
      <c r="C549" s="13">
        <f>AVERAGE(B520:B549)</f>
        <v/>
      </c>
      <c r="D549" s="13">
        <f>STDEV.S(B520:B549)</f>
        <v/>
      </c>
      <c r="E549" s="13">
        <f>C549+3*D549</f>
        <v/>
      </c>
      <c r="F549" s="13">
        <f>C549-3*D549</f>
        <v/>
      </c>
      <c r="G549" s="15">
        <f>IF(D549=0,"",(B549-C549)/D549)</f>
        <v/>
      </c>
      <c r="H549" s="13">
        <f>MEDIAN(B520:B549)</f>
        <v/>
      </c>
      <c r="I549" s="13">
        <f>MEDIAN(ABS(B520:B549-H549))</f>
        <v/>
      </c>
      <c r="J549" s="15">
        <f>IF(I549=0,"",0.6745*(B549-H549)/I549)</f>
        <v/>
      </c>
      <c r="K549" s="13">
        <f>0.2*B549+0.8*K548</f>
        <v/>
      </c>
      <c r="L549" s="13">
        <f>C549+3*D549*SQRT(0.2/(2-0.2))</f>
        <v/>
      </c>
      <c r="M549" s="13">
        <f>C549-3*D549*SQRT(0.2/(2-0.2))</f>
        <v/>
      </c>
      <c r="N549" s="13">
        <f>MAX(0,N548+(B549-C549-0.5*D549))</f>
        <v/>
      </c>
      <c r="O549" s="13">
        <f>MIN(0,O548+(B549-C549+0.5*D549))</f>
        <v/>
      </c>
      <c r="P549">
        <f>IF(ABS(G549)&gt;1,P548+1,0)</f>
        <v/>
      </c>
      <c r="Q549">
        <f>IFS(OR(ABS(G549)&gt;3,N549&gt;5*D549,ABS(O549)&gt;5*D549,P549&gt;=5),"CRITICAL",OR(ABS(G549)&gt;2,P549&gt;=3,ABS(J549)&gt;3.5),"EARLY WARNING",ABS(G549)&gt;1,"WATCH",TRUE,"NORMAL")</f>
        <v/>
      </c>
    </row>
    <row r="550">
      <c r="A550" s="12" t="n">
        <v>45575</v>
      </c>
      <c r="B550" s="13">
        <f>Raw_Data!B550</f>
        <v/>
      </c>
      <c r="C550" s="13">
        <f>AVERAGE(B521:B550)</f>
        <v/>
      </c>
      <c r="D550" s="13">
        <f>STDEV.S(B521:B550)</f>
        <v/>
      </c>
      <c r="E550" s="13">
        <f>C550+3*D550</f>
        <v/>
      </c>
      <c r="F550" s="13">
        <f>C550-3*D550</f>
        <v/>
      </c>
      <c r="G550" s="15">
        <f>IF(D550=0,"",(B550-C550)/D550)</f>
        <v/>
      </c>
      <c r="H550" s="13">
        <f>MEDIAN(B521:B550)</f>
        <v/>
      </c>
      <c r="I550" s="13">
        <f>MEDIAN(ABS(B521:B550-H550))</f>
        <v/>
      </c>
      <c r="J550" s="15">
        <f>IF(I550=0,"",0.6745*(B550-H550)/I550)</f>
        <v/>
      </c>
      <c r="K550" s="13">
        <f>0.2*B550+0.8*K549</f>
        <v/>
      </c>
      <c r="L550" s="13">
        <f>C550+3*D550*SQRT(0.2/(2-0.2))</f>
        <v/>
      </c>
      <c r="M550" s="13">
        <f>C550-3*D550*SQRT(0.2/(2-0.2))</f>
        <v/>
      </c>
      <c r="N550" s="13">
        <f>MAX(0,N549+(B550-C550-0.5*D550))</f>
        <v/>
      </c>
      <c r="O550" s="13">
        <f>MIN(0,O549+(B550-C550+0.5*D550))</f>
        <v/>
      </c>
      <c r="P550">
        <f>IF(ABS(G550)&gt;1,P549+1,0)</f>
        <v/>
      </c>
      <c r="Q550">
        <f>IFS(OR(ABS(G550)&gt;3,N550&gt;5*D550,ABS(O550)&gt;5*D550,P550&gt;=5),"CRITICAL",OR(ABS(G550)&gt;2,P550&gt;=3,ABS(J550)&gt;3.5),"EARLY WARNING",ABS(G550)&gt;1,"WATCH",TRUE,"NORMAL")</f>
        <v/>
      </c>
    </row>
    <row r="551">
      <c r="A551" s="12" t="n">
        <v>45576</v>
      </c>
      <c r="B551" s="13">
        <f>Raw_Data!B551</f>
        <v/>
      </c>
      <c r="C551" s="13">
        <f>AVERAGE(B522:B551)</f>
        <v/>
      </c>
      <c r="D551" s="13">
        <f>STDEV.S(B522:B551)</f>
        <v/>
      </c>
      <c r="E551" s="13">
        <f>C551+3*D551</f>
        <v/>
      </c>
      <c r="F551" s="13">
        <f>C551-3*D551</f>
        <v/>
      </c>
      <c r="G551" s="15">
        <f>IF(D551=0,"",(B551-C551)/D551)</f>
        <v/>
      </c>
      <c r="H551" s="13">
        <f>MEDIAN(B522:B551)</f>
        <v/>
      </c>
      <c r="I551" s="13">
        <f>MEDIAN(ABS(B522:B551-H551))</f>
        <v/>
      </c>
      <c r="J551" s="15">
        <f>IF(I551=0,"",0.6745*(B551-H551)/I551)</f>
        <v/>
      </c>
      <c r="K551" s="13">
        <f>0.2*B551+0.8*K550</f>
        <v/>
      </c>
      <c r="L551" s="13">
        <f>C551+3*D551*SQRT(0.2/(2-0.2))</f>
        <v/>
      </c>
      <c r="M551" s="13">
        <f>C551-3*D551*SQRT(0.2/(2-0.2))</f>
        <v/>
      </c>
      <c r="N551" s="13">
        <f>MAX(0,N550+(B551-C551-0.5*D551))</f>
        <v/>
      </c>
      <c r="O551" s="13">
        <f>MIN(0,O550+(B551-C551+0.5*D551))</f>
        <v/>
      </c>
      <c r="P551">
        <f>IF(ABS(G551)&gt;1,P550+1,0)</f>
        <v/>
      </c>
      <c r="Q551">
        <f>IFS(OR(ABS(G551)&gt;3,N551&gt;5*D551,ABS(O551)&gt;5*D551,P551&gt;=5),"CRITICAL",OR(ABS(G551)&gt;2,P551&gt;=3,ABS(J551)&gt;3.5),"EARLY WARNING",ABS(G551)&gt;1,"WATCH",TRUE,"NORMAL")</f>
        <v/>
      </c>
    </row>
    <row r="552">
      <c r="A552" s="12" t="n">
        <v>45577</v>
      </c>
      <c r="B552" s="13">
        <f>Raw_Data!B552</f>
        <v/>
      </c>
      <c r="C552" s="13">
        <f>AVERAGE(B523:B552)</f>
        <v/>
      </c>
      <c r="D552" s="13">
        <f>STDEV.S(B523:B552)</f>
        <v/>
      </c>
      <c r="E552" s="13">
        <f>C552+3*D552</f>
        <v/>
      </c>
      <c r="F552" s="13">
        <f>C552-3*D552</f>
        <v/>
      </c>
      <c r="G552" s="15">
        <f>IF(D552=0,"",(B552-C552)/D552)</f>
        <v/>
      </c>
      <c r="H552" s="13">
        <f>MEDIAN(B523:B552)</f>
        <v/>
      </c>
      <c r="I552" s="13">
        <f>MEDIAN(ABS(B523:B552-H552))</f>
        <v/>
      </c>
      <c r="J552" s="15">
        <f>IF(I552=0,"",0.6745*(B552-H552)/I552)</f>
        <v/>
      </c>
      <c r="K552" s="13">
        <f>0.2*B552+0.8*K551</f>
        <v/>
      </c>
      <c r="L552" s="13">
        <f>C552+3*D552*SQRT(0.2/(2-0.2))</f>
        <v/>
      </c>
      <c r="M552" s="13">
        <f>C552-3*D552*SQRT(0.2/(2-0.2))</f>
        <v/>
      </c>
      <c r="N552" s="13">
        <f>MAX(0,N551+(B552-C552-0.5*D552))</f>
        <v/>
      </c>
      <c r="O552" s="13">
        <f>MIN(0,O551+(B552-C552+0.5*D552))</f>
        <v/>
      </c>
      <c r="P552">
        <f>IF(ABS(G552)&gt;1,P551+1,0)</f>
        <v/>
      </c>
      <c r="Q552">
        <f>IFS(OR(ABS(G552)&gt;3,N552&gt;5*D552,ABS(O552)&gt;5*D552,P552&gt;=5),"CRITICAL",OR(ABS(G552)&gt;2,P552&gt;=3,ABS(J552)&gt;3.5),"EARLY WARNING",ABS(G552)&gt;1,"WATCH",TRUE,"NORMAL")</f>
        <v/>
      </c>
    </row>
    <row r="553">
      <c r="A553" s="12" t="n">
        <v>45578</v>
      </c>
      <c r="B553" s="13">
        <f>Raw_Data!B553</f>
        <v/>
      </c>
      <c r="C553" s="13">
        <f>AVERAGE(B524:B553)</f>
        <v/>
      </c>
      <c r="D553" s="13">
        <f>STDEV.S(B524:B553)</f>
        <v/>
      </c>
      <c r="E553" s="13">
        <f>C553+3*D553</f>
        <v/>
      </c>
      <c r="F553" s="13">
        <f>C553-3*D553</f>
        <v/>
      </c>
      <c r="G553" s="15">
        <f>IF(D553=0,"",(B553-C553)/D553)</f>
        <v/>
      </c>
      <c r="H553" s="13">
        <f>MEDIAN(B524:B553)</f>
        <v/>
      </c>
      <c r="I553" s="13">
        <f>MEDIAN(ABS(B524:B553-H553))</f>
        <v/>
      </c>
      <c r="J553" s="15">
        <f>IF(I553=0,"",0.6745*(B553-H553)/I553)</f>
        <v/>
      </c>
      <c r="K553" s="13">
        <f>0.2*B553+0.8*K552</f>
        <v/>
      </c>
      <c r="L553" s="13">
        <f>C553+3*D553*SQRT(0.2/(2-0.2))</f>
        <v/>
      </c>
      <c r="M553" s="13">
        <f>C553-3*D553*SQRT(0.2/(2-0.2))</f>
        <v/>
      </c>
      <c r="N553" s="13">
        <f>MAX(0,N552+(B553-C553-0.5*D553))</f>
        <v/>
      </c>
      <c r="O553" s="13">
        <f>MIN(0,O552+(B553-C553+0.5*D553))</f>
        <v/>
      </c>
      <c r="P553">
        <f>IF(ABS(G553)&gt;1,P552+1,0)</f>
        <v/>
      </c>
      <c r="Q553">
        <f>IFS(OR(ABS(G553)&gt;3,N553&gt;5*D553,ABS(O553)&gt;5*D553,P553&gt;=5),"CRITICAL",OR(ABS(G553)&gt;2,P553&gt;=3,ABS(J553)&gt;3.5),"EARLY WARNING",ABS(G553)&gt;1,"WATCH",TRUE,"NORMAL")</f>
        <v/>
      </c>
    </row>
    <row r="554">
      <c r="A554" s="12" t="n">
        <v>45579</v>
      </c>
      <c r="B554" s="13">
        <f>Raw_Data!B554</f>
        <v/>
      </c>
      <c r="C554" s="13">
        <f>AVERAGE(B525:B554)</f>
        <v/>
      </c>
      <c r="D554" s="13">
        <f>STDEV.S(B525:B554)</f>
        <v/>
      </c>
      <c r="E554" s="13">
        <f>C554+3*D554</f>
        <v/>
      </c>
      <c r="F554" s="13">
        <f>C554-3*D554</f>
        <v/>
      </c>
      <c r="G554" s="15">
        <f>IF(D554=0,"",(B554-C554)/D554)</f>
        <v/>
      </c>
      <c r="H554" s="13">
        <f>MEDIAN(B525:B554)</f>
        <v/>
      </c>
      <c r="I554" s="13">
        <f>MEDIAN(ABS(B525:B554-H554))</f>
        <v/>
      </c>
      <c r="J554" s="15">
        <f>IF(I554=0,"",0.6745*(B554-H554)/I554)</f>
        <v/>
      </c>
      <c r="K554" s="13">
        <f>0.2*B554+0.8*K553</f>
        <v/>
      </c>
      <c r="L554" s="13">
        <f>C554+3*D554*SQRT(0.2/(2-0.2))</f>
        <v/>
      </c>
      <c r="M554" s="13">
        <f>C554-3*D554*SQRT(0.2/(2-0.2))</f>
        <v/>
      </c>
      <c r="N554" s="13">
        <f>MAX(0,N553+(B554-C554-0.5*D554))</f>
        <v/>
      </c>
      <c r="O554" s="13">
        <f>MIN(0,O553+(B554-C554+0.5*D554))</f>
        <v/>
      </c>
      <c r="P554">
        <f>IF(ABS(G554)&gt;1,P553+1,0)</f>
        <v/>
      </c>
      <c r="Q554">
        <f>IFS(OR(ABS(G554)&gt;3,N554&gt;5*D554,ABS(O554)&gt;5*D554,P554&gt;=5),"CRITICAL",OR(ABS(G554)&gt;2,P554&gt;=3,ABS(J554)&gt;3.5),"EARLY WARNING",ABS(G554)&gt;1,"WATCH",TRUE,"NORMAL")</f>
        <v/>
      </c>
    </row>
    <row r="555">
      <c r="A555" s="12" t="n">
        <v>45580</v>
      </c>
      <c r="B555" s="13">
        <f>Raw_Data!B555</f>
        <v/>
      </c>
      <c r="C555" s="13">
        <f>AVERAGE(B526:B555)</f>
        <v/>
      </c>
      <c r="D555" s="13">
        <f>STDEV.S(B526:B555)</f>
        <v/>
      </c>
      <c r="E555" s="13">
        <f>C555+3*D555</f>
        <v/>
      </c>
      <c r="F555" s="13">
        <f>C555-3*D555</f>
        <v/>
      </c>
      <c r="G555" s="15">
        <f>IF(D555=0,"",(B555-C555)/D555)</f>
        <v/>
      </c>
      <c r="H555" s="13">
        <f>MEDIAN(B526:B555)</f>
        <v/>
      </c>
      <c r="I555" s="13">
        <f>MEDIAN(ABS(B526:B555-H555))</f>
        <v/>
      </c>
      <c r="J555" s="15">
        <f>IF(I555=0,"",0.6745*(B555-H555)/I555)</f>
        <v/>
      </c>
      <c r="K555" s="13">
        <f>0.2*B555+0.8*K554</f>
        <v/>
      </c>
      <c r="L555" s="13">
        <f>C555+3*D555*SQRT(0.2/(2-0.2))</f>
        <v/>
      </c>
      <c r="M555" s="13">
        <f>C555-3*D555*SQRT(0.2/(2-0.2))</f>
        <v/>
      </c>
      <c r="N555" s="13">
        <f>MAX(0,N554+(B555-C555-0.5*D555))</f>
        <v/>
      </c>
      <c r="O555" s="13">
        <f>MIN(0,O554+(B555-C555+0.5*D555))</f>
        <v/>
      </c>
      <c r="P555">
        <f>IF(ABS(G555)&gt;1,P554+1,0)</f>
        <v/>
      </c>
      <c r="Q555">
        <f>IFS(OR(ABS(G555)&gt;3,N555&gt;5*D555,ABS(O555)&gt;5*D555,P555&gt;=5),"CRITICAL",OR(ABS(G555)&gt;2,P555&gt;=3,ABS(J555)&gt;3.5),"EARLY WARNING",ABS(G555)&gt;1,"WATCH",TRUE,"NORMAL")</f>
        <v/>
      </c>
    </row>
    <row r="556">
      <c r="A556" s="12" t="n">
        <v>45581</v>
      </c>
      <c r="B556" s="13">
        <f>Raw_Data!B556</f>
        <v/>
      </c>
      <c r="C556" s="13">
        <f>AVERAGE(B527:B556)</f>
        <v/>
      </c>
      <c r="D556" s="13">
        <f>STDEV.S(B527:B556)</f>
        <v/>
      </c>
      <c r="E556" s="13">
        <f>C556+3*D556</f>
        <v/>
      </c>
      <c r="F556" s="13">
        <f>C556-3*D556</f>
        <v/>
      </c>
      <c r="G556" s="15">
        <f>IF(D556=0,"",(B556-C556)/D556)</f>
        <v/>
      </c>
      <c r="H556" s="13">
        <f>MEDIAN(B527:B556)</f>
        <v/>
      </c>
      <c r="I556" s="13">
        <f>MEDIAN(ABS(B527:B556-H556))</f>
        <v/>
      </c>
      <c r="J556" s="15">
        <f>IF(I556=0,"",0.6745*(B556-H556)/I556)</f>
        <v/>
      </c>
      <c r="K556" s="13">
        <f>0.2*B556+0.8*K555</f>
        <v/>
      </c>
      <c r="L556" s="13">
        <f>C556+3*D556*SQRT(0.2/(2-0.2))</f>
        <v/>
      </c>
      <c r="M556" s="13">
        <f>C556-3*D556*SQRT(0.2/(2-0.2))</f>
        <v/>
      </c>
      <c r="N556" s="13">
        <f>MAX(0,N555+(B556-C556-0.5*D556))</f>
        <v/>
      </c>
      <c r="O556" s="13">
        <f>MIN(0,O555+(B556-C556+0.5*D556))</f>
        <v/>
      </c>
      <c r="P556">
        <f>IF(ABS(G556)&gt;1,P555+1,0)</f>
        <v/>
      </c>
      <c r="Q556">
        <f>IFS(OR(ABS(G556)&gt;3,N556&gt;5*D556,ABS(O556)&gt;5*D556,P556&gt;=5),"CRITICAL",OR(ABS(G556)&gt;2,P556&gt;=3,ABS(J556)&gt;3.5),"EARLY WARNING",ABS(G556)&gt;1,"WATCH",TRUE,"NORMAL")</f>
        <v/>
      </c>
    </row>
    <row r="557">
      <c r="A557" s="12" t="n">
        <v>45582</v>
      </c>
      <c r="B557" s="13">
        <f>Raw_Data!B557</f>
        <v/>
      </c>
      <c r="C557" s="13">
        <f>AVERAGE(B528:B557)</f>
        <v/>
      </c>
      <c r="D557" s="13">
        <f>STDEV.S(B528:B557)</f>
        <v/>
      </c>
      <c r="E557" s="13">
        <f>C557+3*D557</f>
        <v/>
      </c>
      <c r="F557" s="13">
        <f>C557-3*D557</f>
        <v/>
      </c>
      <c r="G557" s="15">
        <f>IF(D557=0,"",(B557-C557)/D557)</f>
        <v/>
      </c>
      <c r="H557" s="13">
        <f>MEDIAN(B528:B557)</f>
        <v/>
      </c>
      <c r="I557" s="13">
        <f>MEDIAN(ABS(B528:B557-H557))</f>
        <v/>
      </c>
      <c r="J557" s="15">
        <f>IF(I557=0,"",0.6745*(B557-H557)/I557)</f>
        <v/>
      </c>
      <c r="K557" s="13">
        <f>0.2*B557+0.8*K556</f>
        <v/>
      </c>
      <c r="L557" s="13">
        <f>C557+3*D557*SQRT(0.2/(2-0.2))</f>
        <v/>
      </c>
      <c r="M557" s="13">
        <f>C557-3*D557*SQRT(0.2/(2-0.2))</f>
        <v/>
      </c>
      <c r="N557" s="13">
        <f>MAX(0,N556+(B557-C557-0.5*D557))</f>
        <v/>
      </c>
      <c r="O557" s="13">
        <f>MIN(0,O556+(B557-C557+0.5*D557))</f>
        <v/>
      </c>
      <c r="P557">
        <f>IF(ABS(G557)&gt;1,P556+1,0)</f>
        <v/>
      </c>
      <c r="Q557">
        <f>IFS(OR(ABS(G557)&gt;3,N557&gt;5*D557,ABS(O557)&gt;5*D557,P557&gt;=5),"CRITICAL",OR(ABS(G557)&gt;2,P557&gt;=3,ABS(J557)&gt;3.5),"EARLY WARNING",ABS(G557)&gt;1,"WATCH",TRUE,"NORMAL")</f>
        <v/>
      </c>
    </row>
    <row r="558">
      <c r="A558" s="12" t="n">
        <v>45583</v>
      </c>
      <c r="B558" s="13">
        <f>Raw_Data!B558</f>
        <v/>
      </c>
      <c r="C558" s="13">
        <f>AVERAGE(B529:B558)</f>
        <v/>
      </c>
      <c r="D558" s="13">
        <f>STDEV.S(B529:B558)</f>
        <v/>
      </c>
      <c r="E558" s="13">
        <f>C558+3*D558</f>
        <v/>
      </c>
      <c r="F558" s="13">
        <f>C558-3*D558</f>
        <v/>
      </c>
      <c r="G558" s="15">
        <f>IF(D558=0,"",(B558-C558)/D558)</f>
        <v/>
      </c>
      <c r="H558" s="13">
        <f>MEDIAN(B529:B558)</f>
        <v/>
      </c>
      <c r="I558" s="13">
        <f>MEDIAN(ABS(B529:B558-H558))</f>
        <v/>
      </c>
      <c r="J558" s="15">
        <f>IF(I558=0,"",0.6745*(B558-H558)/I558)</f>
        <v/>
      </c>
      <c r="K558" s="13">
        <f>0.2*B558+0.8*K557</f>
        <v/>
      </c>
      <c r="L558" s="13">
        <f>C558+3*D558*SQRT(0.2/(2-0.2))</f>
        <v/>
      </c>
      <c r="M558" s="13">
        <f>C558-3*D558*SQRT(0.2/(2-0.2))</f>
        <v/>
      </c>
      <c r="N558" s="13">
        <f>MAX(0,N557+(B558-C558-0.5*D558))</f>
        <v/>
      </c>
      <c r="O558" s="13">
        <f>MIN(0,O557+(B558-C558+0.5*D558))</f>
        <v/>
      </c>
      <c r="P558">
        <f>IF(ABS(G558)&gt;1,P557+1,0)</f>
        <v/>
      </c>
      <c r="Q558">
        <f>IFS(OR(ABS(G558)&gt;3,N558&gt;5*D558,ABS(O558)&gt;5*D558,P558&gt;=5),"CRITICAL",OR(ABS(G558)&gt;2,P558&gt;=3,ABS(J558)&gt;3.5),"EARLY WARNING",ABS(G558)&gt;1,"WATCH",TRUE,"NORMAL")</f>
        <v/>
      </c>
    </row>
    <row r="559">
      <c r="A559" s="12" t="n">
        <v>45584</v>
      </c>
      <c r="B559" s="13">
        <f>Raw_Data!B559</f>
        <v/>
      </c>
      <c r="C559" s="13">
        <f>AVERAGE(B530:B559)</f>
        <v/>
      </c>
      <c r="D559" s="13">
        <f>STDEV.S(B530:B559)</f>
        <v/>
      </c>
      <c r="E559" s="13">
        <f>C559+3*D559</f>
        <v/>
      </c>
      <c r="F559" s="13">
        <f>C559-3*D559</f>
        <v/>
      </c>
      <c r="G559" s="15">
        <f>IF(D559=0,"",(B559-C559)/D559)</f>
        <v/>
      </c>
      <c r="H559" s="13">
        <f>MEDIAN(B530:B559)</f>
        <v/>
      </c>
      <c r="I559" s="13">
        <f>MEDIAN(ABS(B530:B559-H559))</f>
        <v/>
      </c>
      <c r="J559" s="15">
        <f>IF(I559=0,"",0.6745*(B559-H559)/I559)</f>
        <v/>
      </c>
      <c r="K559" s="13">
        <f>0.2*B559+0.8*K558</f>
        <v/>
      </c>
      <c r="L559" s="13">
        <f>C559+3*D559*SQRT(0.2/(2-0.2))</f>
        <v/>
      </c>
      <c r="M559" s="13">
        <f>C559-3*D559*SQRT(0.2/(2-0.2))</f>
        <v/>
      </c>
      <c r="N559" s="13">
        <f>MAX(0,N558+(B559-C559-0.5*D559))</f>
        <v/>
      </c>
      <c r="O559" s="13">
        <f>MIN(0,O558+(B559-C559+0.5*D559))</f>
        <v/>
      </c>
      <c r="P559">
        <f>IF(ABS(G559)&gt;1,P558+1,0)</f>
        <v/>
      </c>
      <c r="Q559">
        <f>IFS(OR(ABS(G559)&gt;3,N559&gt;5*D559,ABS(O559)&gt;5*D559,P559&gt;=5),"CRITICAL",OR(ABS(G559)&gt;2,P559&gt;=3,ABS(J559)&gt;3.5),"EARLY WARNING",ABS(G559)&gt;1,"WATCH",TRUE,"NORMAL")</f>
        <v/>
      </c>
    </row>
    <row r="560">
      <c r="A560" s="12" t="n">
        <v>45585</v>
      </c>
      <c r="B560" s="13">
        <f>Raw_Data!B560</f>
        <v/>
      </c>
      <c r="C560" s="13">
        <f>AVERAGE(B531:B560)</f>
        <v/>
      </c>
      <c r="D560" s="13">
        <f>STDEV.S(B531:B560)</f>
        <v/>
      </c>
      <c r="E560" s="13">
        <f>C560+3*D560</f>
        <v/>
      </c>
      <c r="F560" s="13">
        <f>C560-3*D560</f>
        <v/>
      </c>
      <c r="G560" s="15">
        <f>IF(D560=0,"",(B560-C560)/D560)</f>
        <v/>
      </c>
      <c r="H560" s="13">
        <f>MEDIAN(B531:B560)</f>
        <v/>
      </c>
      <c r="I560" s="13">
        <f>MEDIAN(ABS(B531:B560-H560))</f>
        <v/>
      </c>
      <c r="J560" s="15">
        <f>IF(I560=0,"",0.6745*(B560-H560)/I560)</f>
        <v/>
      </c>
      <c r="K560" s="13">
        <f>0.2*B560+0.8*K559</f>
        <v/>
      </c>
      <c r="L560" s="13">
        <f>C560+3*D560*SQRT(0.2/(2-0.2))</f>
        <v/>
      </c>
      <c r="M560" s="13">
        <f>C560-3*D560*SQRT(0.2/(2-0.2))</f>
        <v/>
      </c>
      <c r="N560" s="13">
        <f>MAX(0,N559+(B560-C560-0.5*D560))</f>
        <v/>
      </c>
      <c r="O560" s="13">
        <f>MIN(0,O559+(B560-C560+0.5*D560))</f>
        <v/>
      </c>
      <c r="P560">
        <f>IF(ABS(G560)&gt;1,P559+1,0)</f>
        <v/>
      </c>
      <c r="Q560">
        <f>IFS(OR(ABS(G560)&gt;3,N560&gt;5*D560,ABS(O560)&gt;5*D560,P560&gt;=5),"CRITICAL",OR(ABS(G560)&gt;2,P560&gt;=3,ABS(J560)&gt;3.5),"EARLY WARNING",ABS(G560)&gt;1,"WATCH",TRUE,"NORMAL")</f>
        <v/>
      </c>
    </row>
    <row r="561">
      <c r="A561" s="12" t="n">
        <v>45586</v>
      </c>
      <c r="B561" s="13">
        <f>Raw_Data!B561</f>
        <v/>
      </c>
      <c r="C561" s="13">
        <f>AVERAGE(B532:B561)</f>
        <v/>
      </c>
      <c r="D561" s="13">
        <f>STDEV.S(B532:B561)</f>
        <v/>
      </c>
      <c r="E561" s="13">
        <f>C561+3*D561</f>
        <v/>
      </c>
      <c r="F561" s="13">
        <f>C561-3*D561</f>
        <v/>
      </c>
      <c r="G561" s="15">
        <f>IF(D561=0,"",(B561-C561)/D561)</f>
        <v/>
      </c>
      <c r="H561" s="13">
        <f>MEDIAN(B532:B561)</f>
        <v/>
      </c>
      <c r="I561" s="13">
        <f>MEDIAN(ABS(B532:B561-H561))</f>
        <v/>
      </c>
      <c r="J561" s="15">
        <f>IF(I561=0,"",0.6745*(B561-H561)/I561)</f>
        <v/>
      </c>
      <c r="K561" s="13">
        <f>0.2*B561+0.8*K560</f>
        <v/>
      </c>
      <c r="L561" s="13">
        <f>C561+3*D561*SQRT(0.2/(2-0.2))</f>
        <v/>
      </c>
      <c r="M561" s="13">
        <f>C561-3*D561*SQRT(0.2/(2-0.2))</f>
        <v/>
      </c>
      <c r="N561" s="13">
        <f>MAX(0,N560+(B561-C561-0.5*D561))</f>
        <v/>
      </c>
      <c r="O561" s="13">
        <f>MIN(0,O560+(B561-C561+0.5*D561))</f>
        <v/>
      </c>
      <c r="P561">
        <f>IF(ABS(G561)&gt;1,P560+1,0)</f>
        <v/>
      </c>
      <c r="Q561">
        <f>IFS(OR(ABS(G561)&gt;3,N561&gt;5*D561,ABS(O561)&gt;5*D561,P561&gt;=5),"CRITICAL",OR(ABS(G561)&gt;2,P561&gt;=3,ABS(J561)&gt;3.5),"EARLY WARNING",ABS(G561)&gt;1,"WATCH",TRUE,"NORMAL")</f>
        <v/>
      </c>
    </row>
    <row r="562">
      <c r="A562" s="12" t="n">
        <v>45587</v>
      </c>
      <c r="B562" s="13">
        <f>Raw_Data!B562</f>
        <v/>
      </c>
      <c r="C562" s="13">
        <f>AVERAGE(B533:B562)</f>
        <v/>
      </c>
      <c r="D562" s="13">
        <f>STDEV.S(B533:B562)</f>
        <v/>
      </c>
      <c r="E562" s="13">
        <f>C562+3*D562</f>
        <v/>
      </c>
      <c r="F562" s="13">
        <f>C562-3*D562</f>
        <v/>
      </c>
      <c r="G562" s="15">
        <f>IF(D562=0,"",(B562-C562)/D562)</f>
        <v/>
      </c>
      <c r="H562" s="13">
        <f>MEDIAN(B533:B562)</f>
        <v/>
      </c>
      <c r="I562" s="13">
        <f>MEDIAN(ABS(B533:B562-H562))</f>
        <v/>
      </c>
      <c r="J562" s="15">
        <f>IF(I562=0,"",0.6745*(B562-H562)/I562)</f>
        <v/>
      </c>
      <c r="K562" s="13">
        <f>0.2*B562+0.8*K561</f>
        <v/>
      </c>
      <c r="L562" s="13">
        <f>C562+3*D562*SQRT(0.2/(2-0.2))</f>
        <v/>
      </c>
      <c r="M562" s="13">
        <f>C562-3*D562*SQRT(0.2/(2-0.2))</f>
        <v/>
      </c>
      <c r="N562" s="13">
        <f>MAX(0,N561+(B562-C562-0.5*D562))</f>
        <v/>
      </c>
      <c r="O562" s="13">
        <f>MIN(0,O561+(B562-C562+0.5*D562))</f>
        <v/>
      </c>
      <c r="P562">
        <f>IF(ABS(G562)&gt;1,P561+1,0)</f>
        <v/>
      </c>
      <c r="Q562">
        <f>IFS(OR(ABS(G562)&gt;3,N562&gt;5*D562,ABS(O562)&gt;5*D562,P562&gt;=5),"CRITICAL",OR(ABS(G562)&gt;2,P562&gt;=3,ABS(J562)&gt;3.5),"EARLY WARNING",ABS(G562)&gt;1,"WATCH",TRUE,"NORMAL")</f>
        <v/>
      </c>
    </row>
    <row r="563">
      <c r="A563" s="12" t="n">
        <v>45588</v>
      </c>
      <c r="B563" s="13">
        <f>Raw_Data!B563</f>
        <v/>
      </c>
      <c r="C563" s="13">
        <f>AVERAGE(B534:B563)</f>
        <v/>
      </c>
      <c r="D563" s="13">
        <f>STDEV.S(B534:B563)</f>
        <v/>
      </c>
      <c r="E563" s="13">
        <f>C563+3*D563</f>
        <v/>
      </c>
      <c r="F563" s="13">
        <f>C563-3*D563</f>
        <v/>
      </c>
      <c r="G563" s="15">
        <f>IF(D563=0,"",(B563-C563)/D563)</f>
        <v/>
      </c>
      <c r="H563" s="13">
        <f>MEDIAN(B534:B563)</f>
        <v/>
      </c>
      <c r="I563" s="13">
        <f>MEDIAN(ABS(B534:B563-H563))</f>
        <v/>
      </c>
      <c r="J563" s="15">
        <f>IF(I563=0,"",0.6745*(B563-H563)/I563)</f>
        <v/>
      </c>
      <c r="K563" s="13">
        <f>0.2*B563+0.8*K562</f>
        <v/>
      </c>
      <c r="L563" s="13">
        <f>C563+3*D563*SQRT(0.2/(2-0.2))</f>
        <v/>
      </c>
      <c r="M563" s="13">
        <f>C563-3*D563*SQRT(0.2/(2-0.2))</f>
        <v/>
      </c>
      <c r="N563" s="13">
        <f>MAX(0,N562+(B563-C563-0.5*D563))</f>
        <v/>
      </c>
      <c r="O563" s="13">
        <f>MIN(0,O562+(B563-C563+0.5*D563))</f>
        <v/>
      </c>
      <c r="P563">
        <f>IF(ABS(G563)&gt;1,P562+1,0)</f>
        <v/>
      </c>
      <c r="Q563">
        <f>IFS(OR(ABS(G563)&gt;3,N563&gt;5*D563,ABS(O563)&gt;5*D563,P563&gt;=5),"CRITICAL",OR(ABS(G563)&gt;2,P563&gt;=3,ABS(J563)&gt;3.5),"EARLY WARNING",ABS(G563)&gt;1,"WATCH",TRUE,"NORMAL")</f>
        <v/>
      </c>
    </row>
    <row r="564">
      <c r="A564" s="12" t="n">
        <v>45589</v>
      </c>
      <c r="B564" s="13">
        <f>Raw_Data!B564</f>
        <v/>
      </c>
      <c r="C564" s="13">
        <f>AVERAGE(B535:B564)</f>
        <v/>
      </c>
      <c r="D564" s="13">
        <f>STDEV.S(B535:B564)</f>
        <v/>
      </c>
      <c r="E564" s="13">
        <f>C564+3*D564</f>
        <v/>
      </c>
      <c r="F564" s="13">
        <f>C564-3*D564</f>
        <v/>
      </c>
      <c r="G564" s="15">
        <f>IF(D564=0,"",(B564-C564)/D564)</f>
        <v/>
      </c>
      <c r="H564" s="13">
        <f>MEDIAN(B535:B564)</f>
        <v/>
      </c>
      <c r="I564" s="13">
        <f>MEDIAN(ABS(B535:B564-H564))</f>
        <v/>
      </c>
      <c r="J564" s="15">
        <f>IF(I564=0,"",0.6745*(B564-H564)/I564)</f>
        <v/>
      </c>
      <c r="K564" s="13">
        <f>0.2*B564+0.8*K563</f>
        <v/>
      </c>
      <c r="L564" s="13">
        <f>C564+3*D564*SQRT(0.2/(2-0.2))</f>
        <v/>
      </c>
      <c r="M564" s="13">
        <f>C564-3*D564*SQRT(0.2/(2-0.2))</f>
        <v/>
      </c>
      <c r="N564" s="13">
        <f>MAX(0,N563+(B564-C564-0.5*D564))</f>
        <v/>
      </c>
      <c r="O564" s="13">
        <f>MIN(0,O563+(B564-C564+0.5*D564))</f>
        <v/>
      </c>
      <c r="P564">
        <f>IF(ABS(G564)&gt;1,P563+1,0)</f>
        <v/>
      </c>
      <c r="Q564">
        <f>IFS(OR(ABS(G564)&gt;3,N564&gt;5*D564,ABS(O564)&gt;5*D564,P564&gt;=5),"CRITICAL",OR(ABS(G564)&gt;2,P564&gt;=3,ABS(J564)&gt;3.5),"EARLY WARNING",ABS(G564)&gt;1,"WATCH",TRUE,"NORMAL")</f>
        <v/>
      </c>
    </row>
    <row r="565">
      <c r="A565" s="12" t="n">
        <v>45590</v>
      </c>
      <c r="B565" s="13">
        <f>Raw_Data!B565</f>
        <v/>
      </c>
      <c r="C565" s="13">
        <f>AVERAGE(B536:B565)</f>
        <v/>
      </c>
      <c r="D565" s="13">
        <f>STDEV.S(B536:B565)</f>
        <v/>
      </c>
      <c r="E565" s="13">
        <f>C565+3*D565</f>
        <v/>
      </c>
      <c r="F565" s="13">
        <f>C565-3*D565</f>
        <v/>
      </c>
      <c r="G565" s="15">
        <f>IF(D565=0,"",(B565-C565)/D565)</f>
        <v/>
      </c>
      <c r="H565" s="13">
        <f>MEDIAN(B536:B565)</f>
        <v/>
      </c>
      <c r="I565" s="13">
        <f>MEDIAN(ABS(B536:B565-H565))</f>
        <v/>
      </c>
      <c r="J565" s="15">
        <f>IF(I565=0,"",0.6745*(B565-H565)/I565)</f>
        <v/>
      </c>
      <c r="K565" s="13">
        <f>0.2*B565+0.8*K564</f>
        <v/>
      </c>
      <c r="L565" s="13">
        <f>C565+3*D565*SQRT(0.2/(2-0.2))</f>
        <v/>
      </c>
      <c r="M565" s="13">
        <f>C565-3*D565*SQRT(0.2/(2-0.2))</f>
        <v/>
      </c>
      <c r="N565" s="13">
        <f>MAX(0,N564+(B565-C565-0.5*D565))</f>
        <v/>
      </c>
      <c r="O565" s="13">
        <f>MIN(0,O564+(B565-C565+0.5*D565))</f>
        <v/>
      </c>
      <c r="P565">
        <f>IF(ABS(G565)&gt;1,P564+1,0)</f>
        <v/>
      </c>
      <c r="Q565">
        <f>IFS(OR(ABS(G565)&gt;3,N565&gt;5*D565,ABS(O565)&gt;5*D565,P565&gt;=5),"CRITICAL",OR(ABS(G565)&gt;2,P565&gt;=3,ABS(J565)&gt;3.5),"EARLY WARNING",ABS(G565)&gt;1,"WATCH",TRUE,"NORMAL")</f>
        <v/>
      </c>
    </row>
    <row r="566">
      <c r="A566" s="12" t="n">
        <v>45591</v>
      </c>
      <c r="B566" s="13">
        <f>Raw_Data!B566</f>
        <v/>
      </c>
      <c r="C566" s="13">
        <f>AVERAGE(B537:B566)</f>
        <v/>
      </c>
      <c r="D566" s="13">
        <f>STDEV.S(B537:B566)</f>
        <v/>
      </c>
      <c r="E566" s="13">
        <f>C566+3*D566</f>
        <v/>
      </c>
      <c r="F566" s="13">
        <f>C566-3*D566</f>
        <v/>
      </c>
      <c r="G566" s="15">
        <f>IF(D566=0,"",(B566-C566)/D566)</f>
        <v/>
      </c>
      <c r="H566" s="13">
        <f>MEDIAN(B537:B566)</f>
        <v/>
      </c>
      <c r="I566" s="13">
        <f>MEDIAN(ABS(B537:B566-H566))</f>
        <v/>
      </c>
      <c r="J566" s="15">
        <f>IF(I566=0,"",0.6745*(B566-H566)/I566)</f>
        <v/>
      </c>
      <c r="K566" s="13">
        <f>0.2*B566+0.8*K565</f>
        <v/>
      </c>
      <c r="L566" s="13">
        <f>C566+3*D566*SQRT(0.2/(2-0.2))</f>
        <v/>
      </c>
      <c r="M566" s="13">
        <f>C566-3*D566*SQRT(0.2/(2-0.2))</f>
        <v/>
      </c>
      <c r="N566" s="13">
        <f>MAX(0,N565+(B566-C566-0.5*D566))</f>
        <v/>
      </c>
      <c r="O566" s="13">
        <f>MIN(0,O565+(B566-C566+0.5*D566))</f>
        <v/>
      </c>
      <c r="P566">
        <f>IF(ABS(G566)&gt;1,P565+1,0)</f>
        <v/>
      </c>
      <c r="Q566">
        <f>IFS(OR(ABS(G566)&gt;3,N566&gt;5*D566,ABS(O566)&gt;5*D566,P566&gt;=5),"CRITICAL",OR(ABS(G566)&gt;2,P566&gt;=3,ABS(J566)&gt;3.5),"EARLY WARNING",ABS(G566)&gt;1,"WATCH",TRUE,"NORMAL")</f>
        <v/>
      </c>
    </row>
    <row r="567">
      <c r="A567" s="12" t="n">
        <v>45592</v>
      </c>
      <c r="B567" s="13">
        <f>Raw_Data!B567</f>
        <v/>
      </c>
      <c r="C567" s="13">
        <f>AVERAGE(B538:B567)</f>
        <v/>
      </c>
      <c r="D567" s="13">
        <f>STDEV.S(B538:B567)</f>
        <v/>
      </c>
      <c r="E567" s="13">
        <f>C567+3*D567</f>
        <v/>
      </c>
      <c r="F567" s="13">
        <f>C567-3*D567</f>
        <v/>
      </c>
      <c r="G567" s="15">
        <f>IF(D567=0,"",(B567-C567)/D567)</f>
        <v/>
      </c>
      <c r="H567" s="13">
        <f>MEDIAN(B538:B567)</f>
        <v/>
      </c>
      <c r="I567" s="13">
        <f>MEDIAN(ABS(B538:B567-H567))</f>
        <v/>
      </c>
      <c r="J567" s="15">
        <f>IF(I567=0,"",0.6745*(B567-H567)/I567)</f>
        <v/>
      </c>
      <c r="K567" s="13">
        <f>0.2*B567+0.8*K566</f>
        <v/>
      </c>
      <c r="L567" s="13">
        <f>C567+3*D567*SQRT(0.2/(2-0.2))</f>
        <v/>
      </c>
      <c r="M567" s="13">
        <f>C567-3*D567*SQRT(0.2/(2-0.2))</f>
        <v/>
      </c>
      <c r="N567" s="13">
        <f>MAX(0,N566+(B567-C567-0.5*D567))</f>
        <v/>
      </c>
      <c r="O567" s="13">
        <f>MIN(0,O566+(B567-C567+0.5*D567))</f>
        <v/>
      </c>
      <c r="P567">
        <f>IF(ABS(G567)&gt;1,P566+1,0)</f>
        <v/>
      </c>
      <c r="Q567">
        <f>IFS(OR(ABS(G567)&gt;3,N567&gt;5*D567,ABS(O567)&gt;5*D567,P567&gt;=5),"CRITICAL",OR(ABS(G567)&gt;2,P567&gt;=3,ABS(J567)&gt;3.5),"EARLY WARNING",ABS(G567)&gt;1,"WATCH",TRUE,"NORMAL")</f>
        <v/>
      </c>
    </row>
    <row r="568">
      <c r="A568" s="12" t="n">
        <v>45593</v>
      </c>
      <c r="B568" s="13">
        <f>Raw_Data!B568</f>
        <v/>
      </c>
      <c r="C568" s="13">
        <f>AVERAGE(B539:B568)</f>
        <v/>
      </c>
      <c r="D568" s="13">
        <f>STDEV.S(B539:B568)</f>
        <v/>
      </c>
      <c r="E568" s="13">
        <f>C568+3*D568</f>
        <v/>
      </c>
      <c r="F568" s="13">
        <f>C568-3*D568</f>
        <v/>
      </c>
      <c r="G568" s="15">
        <f>IF(D568=0,"",(B568-C568)/D568)</f>
        <v/>
      </c>
      <c r="H568" s="13">
        <f>MEDIAN(B539:B568)</f>
        <v/>
      </c>
      <c r="I568" s="13">
        <f>MEDIAN(ABS(B539:B568-H568))</f>
        <v/>
      </c>
      <c r="J568" s="15">
        <f>IF(I568=0,"",0.6745*(B568-H568)/I568)</f>
        <v/>
      </c>
      <c r="K568" s="13">
        <f>0.2*B568+0.8*K567</f>
        <v/>
      </c>
      <c r="L568" s="13">
        <f>C568+3*D568*SQRT(0.2/(2-0.2))</f>
        <v/>
      </c>
      <c r="M568" s="13">
        <f>C568-3*D568*SQRT(0.2/(2-0.2))</f>
        <v/>
      </c>
      <c r="N568" s="13">
        <f>MAX(0,N567+(B568-C568-0.5*D568))</f>
        <v/>
      </c>
      <c r="O568" s="13">
        <f>MIN(0,O567+(B568-C568+0.5*D568))</f>
        <v/>
      </c>
      <c r="P568">
        <f>IF(ABS(G568)&gt;1,P567+1,0)</f>
        <v/>
      </c>
      <c r="Q568">
        <f>IFS(OR(ABS(G568)&gt;3,N568&gt;5*D568,ABS(O568)&gt;5*D568,P568&gt;=5),"CRITICAL",OR(ABS(G568)&gt;2,P568&gt;=3,ABS(J568)&gt;3.5),"EARLY WARNING",ABS(G568)&gt;1,"WATCH",TRUE,"NORMAL")</f>
        <v/>
      </c>
    </row>
    <row r="569">
      <c r="A569" s="12" t="n">
        <v>45594</v>
      </c>
      <c r="B569" s="13">
        <f>Raw_Data!B569</f>
        <v/>
      </c>
      <c r="C569" s="13">
        <f>AVERAGE(B540:B569)</f>
        <v/>
      </c>
      <c r="D569" s="13">
        <f>STDEV.S(B540:B569)</f>
        <v/>
      </c>
      <c r="E569" s="13">
        <f>C569+3*D569</f>
        <v/>
      </c>
      <c r="F569" s="13">
        <f>C569-3*D569</f>
        <v/>
      </c>
      <c r="G569" s="15">
        <f>IF(D569=0,"",(B569-C569)/D569)</f>
        <v/>
      </c>
      <c r="H569" s="13">
        <f>MEDIAN(B540:B569)</f>
        <v/>
      </c>
      <c r="I569" s="13">
        <f>MEDIAN(ABS(B540:B569-H569))</f>
        <v/>
      </c>
      <c r="J569" s="15">
        <f>IF(I569=0,"",0.6745*(B569-H569)/I569)</f>
        <v/>
      </c>
      <c r="K569" s="13">
        <f>0.2*B569+0.8*K568</f>
        <v/>
      </c>
      <c r="L569" s="13">
        <f>C569+3*D569*SQRT(0.2/(2-0.2))</f>
        <v/>
      </c>
      <c r="M569" s="13">
        <f>C569-3*D569*SQRT(0.2/(2-0.2))</f>
        <v/>
      </c>
      <c r="N569" s="13">
        <f>MAX(0,N568+(B569-C569-0.5*D569))</f>
        <v/>
      </c>
      <c r="O569" s="13">
        <f>MIN(0,O568+(B569-C569+0.5*D569))</f>
        <v/>
      </c>
      <c r="P569">
        <f>IF(ABS(G569)&gt;1,P568+1,0)</f>
        <v/>
      </c>
      <c r="Q569">
        <f>IFS(OR(ABS(G569)&gt;3,N569&gt;5*D569,ABS(O569)&gt;5*D569,P569&gt;=5),"CRITICAL",OR(ABS(G569)&gt;2,P569&gt;=3,ABS(J569)&gt;3.5),"EARLY WARNING",ABS(G569)&gt;1,"WATCH",TRUE,"NORMAL")</f>
        <v/>
      </c>
    </row>
    <row r="570">
      <c r="A570" s="12" t="n">
        <v>45595</v>
      </c>
      <c r="B570" s="13">
        <f>Raw_Data!B570</f>
        <v/>
      </c>
      <c r="C570" s="13">
        <f>AVERAGE(B541:B570)</f>
        <v/>
      </c>
      <c r="D570" s="13">
        <f>STDEV.S(B541:B570)</f>
        <v/>
      </c>
      <c r="E570" s="13">
        <f>C570+3*D570</f>
        <v/>
      </c>
      <c r="F570" s="13">
        <f>C570-3*D570</f>
        <v/>
      </c>
      <c r="G570" s="15">
        <f>IF(D570=0,"",(B570-C570)/D570)</f>
        <v/>
      </c>
      <c r="H570" s="13">
        <f>MEDIAN(B541:B570)</f>
        <v/>
      </c>
      <c r="I570" s="13">
        <f>MEDIAN(ABS(B541:B570-H570))</f>
        <v/>
      </c>
      <c r="J570" s="15">
        <f>IF(I570=0,"",0.6745*(B570-H570)/I570)</f>
        <v/>
      </c>
      <c r="K570" s="13">
        <f>0.2*B570+0.8*K569</f>
        <v/>
      </c>
      <c r="L570" s="13">
        <f>C570+3*D570*SQRT(0.2/(2-0.2))</f>
        <v/>
      </c>
      <c r="M570" s="13">
        <f>C570-3*D570*SQRT(0.2/(2-0.2))</f>
        <v/>
      </c>
      <c r="N570" s="13">
        <f>MAX(0,N569+(B570-C570-0.5*D570))</f>
        <v/>
      </c>
      <c r="O570" s="13">
        <f>MIN(0,O569+(B570-C570+0.5*D570))</f>
        <v/>
      </c>
      <c r="P570">
        <f>IF(ABS(G570)&gt;1,P569+1,0)</f>
        <v/>
      </c>
      <c r="Q570">
        <f>IFS(OR(ABS(G570)&gt;3,N570&gt;5*D570,ABS(O570)&gt;5*D570,P570&gt;=5),"CRITICAL",OR(ABS(G570)&gt;2,P570&gt;=3,ABS(J570)&gt;3.5),"EARLY WARNING",ABS(G570)&gt;1,"WATCH",TRUE,"NORMAL")</f>
        <v/>
      </c>
    </row>
    <row r="571">
      <c r="A571" s="12" t="n">
        <v>45596</v>
      </c>
      <c r="B571" s="13">
        <f>Raw_Data!B571</f>
        <v/>
      </c>
      <c r="C571" s="13">
        <f>AVERAGE(B542:B571)</f>
        <v/>
      </c>
      <c r="D571" s="13">
        <f>STDEV.S(B542:B571)</f>
        <v/>
      </c>
      <c r="E571" s="13">
        <f>C571+3*D571</f>
        <v/>
      </c>
      <c r="F571" s="13">
        <f>C571-3*D571</f>
        <v/>
      </c>
      <c r="G571" s="15">
        <f>IF(D571=0,"",(B571-C571)/D571)</f>
        <v/>
      </c>
      <c r="H571" s="13">
        <f>MEDIAN(B542:B571)</f>
        <v/>
      </c>
      <c r="I571" s="13">
        <f>MEDIAN(ABS(B542:B571-H571))</f>
        <v/>
      </c>
      <c r="J571" s="15">
        <f>IF(I571=0,"",0.6745*(B571-H571)/I571)</f>
        <v/>
      </c>
      <c r="K571" s="13">
        <f>0.2*B571+0.8*K570</f>
        <v/>
      </c>
      <c r="L571" s="13">
        <f>C571+3*D571*SQRT(0.2/(2-0.2))</f>
        <v/>
      </c>
      <c r="M571" s="13">
        <f>C571-3*D571*SQRT(0.2/(2-0.2))</f>
        <v/>
      </c>
      <c r="N571" s="13">
        <f>MAX(0,N570+(B571-C571-0.5*D571))</f>
        <v/>
      </c>
      <c r="O571" s="13">
        <f>MIN(0,O570+(B571-C571+0.5*D571))</f>
        <v/>
      </c>
      <c r="P571">
        <f>IF(ABS(G571)&gt;1,P570+1,0)</f>
        <v/>
      </c>
      <c r="Q571">
        <f>IFS(OR(ABS(G571)&gt;3,N571&gt;5*D571,ABS(O571)&gt;5*D571,P571&gt;=5),"CRITICAL",OR(ABS(G571)&gt;2,P571&gt;=3,ABS(J571)&gt;3.5),"EARLY WARNING",ABS(G571)&gt;1,"WATCH",TRUE,"NORMAL")</f>
        <v/>
      </c>
    </row>
    <row r="572">
      <c r="A572" s="12" t="n">
        <v>45597</v>
      </c>
      <c r="B572" s="13">
        <f>Raw_Data!B572</f>
        <v/>
      </c>
      <c r="C572" s="13">
        <f>AVERAGE(B543:B572)</f>
        <v/>
      </c>
      <c r="D572" s="13">
        <f>STDEV.S(B543:B572)</f>
        <v/>
      </c>
      <c r="E572" s="13">
        <f>C572+3*D572</f>
        <v/>
      </c>
      <c r="F572" s="13">
        <f>C572-3*D572</f>
        <v/>
      </c>
      <c r="G572" s="15">
        <f>IF(D572=0,"",(B572-C572)/D572)</f>
        <v/>
      </c>
      <c r="H572" s="13">
        <f>MEDIAN(B543:B572)</f>
        <v/>
      </c>
      <c r="I572" s="13">
        <f>MEDIAN(ABS(B543:B572-H572))</f>
        <v/>
      </c>
      <c r="J572" s="15">
        <f>IF(I572=0,"",0.6745*(B572-H572)/I572)</f>
        <v/>
      </c>
      <c r="K572" s="13">
        <f>0.2*B572+0.8*K571</f>
        <v/>
      </c>
      <c r="L572" s="13">
        <f>C572+3*D572*SQRT(0.2/(2-0.2))</f>
        <v/>
      </c>
      <c r="M572" s="13">
        <f>C572-3*D572*SQRT(0.2/(2-0.2))</f>
        <v/>
      </c>
      <c r="N572" s="13">
        <f>MAX(0,N571+(B572-C572-0.5*D572))</f>
        <v/>
      </c>
      <c r="O572" s="13">
        <f>MIN(0,O571+(B572-C572+0.5*D572))</f>
        <v/>
      </c>
      <c r="P572">
        <f>IF(ABS(G572)&gt;1,P571+1,0)</f>
        <v/>
      </c>
      <c r="Q572">
        <f>IFS(OR(ABS(G572)&gt;3,N572&gt;5*D572,ABS(O572)&gt;5*D572,P572&gt;=5),"CRITICAL",OR(ABS(G572)&gt;2,P572&gt;=3,ABS(J572)&gt;3.5),"EARLY WARNING",ABS(G572)&gt;1,"WATCH",TRUE,"NORMAL")</f>
        <v/>
      </c>
    </row>
    <row r="573">
      <c r="A573" s="12" t="n">
        <v>45598</v>
      </c>
      <c r="B573" s="13">
        <f>Raw_Data!B573</f>
        <v/>
      </c>
      <c r="C573" s="13">
        <f>AVERAGE(B544:B573)</f>
        <v/>
      </c>
      <c r="D573" s="13">
        <f>STDEV.S(B544:B573)</f>
        <v/>
      </c>
      <c r="E573" s="13">
        <f>C573+3*D573</f>
        <v/>
      </c>
      <c r="F573" s="13">
        <f>C573-3*D573</f>
        <v/>
      </c>
      <c r="G573" s="15">
        <f>IF(D573=0,"",(B573-C573)/D573)</f>
        <v/>
      </c>
      <c r="H573" s="13">
        <f>MEDIAN(B544:B573)</f>
        <v/>
      </c>
      <c r="I573" s="13">
        <f>MEDIAN(ABS(B544:B573-H573))</f>
        <v/>
      </c>
      <c r="J573" s="15">
        <f>IF(I573=0,"",0.6745*(B573-H573)/I573)</f>
        <v/>
      </c>
      <c r="K573" s="13">
        <f>0.2*B573+0.8*K572</f>
        <v/>
      </c>
      <c r="L573" s="13">
        <f>C573+3*D573*SQRT(0.2/(2-0.2))</f>
        <v/>
      </c>
      <c r="M573" s="13">
        <f>C573-3*D573*SQRT(0.2/(2-0.2))</f>
        <v/>
      </c>
      <c r="N573" s="13">
        <f>MAX(0,N572+(B573-C573-0.5*D573))</f>
        <v/>
      </c>
      <c r="O573" s="13">
        <f>MIN(0,O572+(B573-C573+0.5*D573))</f>
        <v/>
      </c>
      <c r="P573">
        <f>IF(ABS(G573)&gt;1,P572+1,0)</f>
        <v/>
      </c>
      <c r="Q573">
        <f>IFS(OR(ABS(G573)&gt;3,N573&gt;5*D573,ABS(O573)&gt;5*D573,P573&gt;=5),"CRITICAL",OR(ABS(G573)&gt;2,P573&gt;=3,ABS(J573)&gt;3.5),"EARLY WARNING",ABS(G573)&gt;1,"WATCH",TRUE,"NORMAL")</f>
        <v/>
      </c>
    </row>
    <row r="574">
      <c r="A574" s="12" t="n">
        <v>45599</v>
      </c>
      <c r="B574" s="13">
        <f>Raw_Data!B574</f>
        <v/>
      </c>
      <c r="C574" s="13">
        <f>AVERAGE(B545:B574)</f>
        <v/>
      </c>
      <c r="D574" s="13">
        <f>STDEV.S(B545:B574)</f>
        <v/>
      </c>
      <c r="E574" s="13">
        <f>C574+3*D574</f>
        <v/>
      </c>
      <c r="F574" s="13">
        <f>C574-3*D574</f>
        <v/>
      </c>
      <c r="G574" s="15">
        <f>IF(D574=0,"",(B574-C574)/D574)</f>
        <v/>
      </c>
      <c r="H574" s="13">
        <f>MEDIAN(B545:B574)</f>
        <v/>
      </c>
      <c r="I574" s="13">
        <f>MEDIAN(ABS(B545:B574-H574))</f>
        <v/>
      </c>
      <c r="J574" s="15">
        <f>IF(I574=0,"",0.6745*(B574-H574)/I574)</f>
        <v/>
      </c>
      <c r="K574" s="13">
        <f>0.2*B574+0.8*K573</f>
        <v/>
      </c>
      <c r="L574" s="13">
        <f>C574+3*D574*SQRT(0.2/(2-0.2))</f>
        <v/>
      </c>
      <c r="M574" s="13">
        <f>C574-3*D574*SQRT(0.2/(2-0.2))</f>
        <v/>
      </c>
      <c r="N574" s="13">
        <f>MAX(0,N573+(B574-C574-0.5*D574))</f>
        <v/>
      </c>
      <c r="O574" s="13">
        <f>MIN(0,O573+(B574-C574+0.5*D574))</f>
        <v/>
      </c>
      <c r="P574">
        <f>IF(ABS(G574)&gt;1,P573+1,0)</f>
        <v/>
      </c>
      <c r="Q574">
        <f>IFS(OR(ABS(G574)&gt;3,N574&gt;5*D574,ABS(O574)&gt;5*D574,P574&gt;=5),"CRITICAL",OR(ABS(G574)&gt;2,P574&gt;=3,ABS(J574)&gt;3.5),"EARLY WARNING",ABS(G574)&gt;1,"WATCH",TRUE,"NORMAL")</f>
        <v/>
      </c>
    </row>
    <row r="575">
      <c r="A575" s="12" t="n">
        <v>45600</v>
      </c>
      <c r="B575" s="13">
        <f>Raw_Data!B575</f>
        <v/>
      </c>
      <c r="C575" s="13">
        <f>AVERAGE(B546:B575)</f>
        <v/>
      </c>
      <c r="D575" s="13">
        <f>STDEV.S(B546:B575)</f>
        <v/>
      </c>
      <c r="E575" s="13">
        <f>C575+3*D575</f>
        <v/>
      </c>
      <c r="F575" s="13">
        <f>C575-3*D575</f>
        <v/>
      </c>
      <c r="G575" s="15">
        <f>IF(D575=0,"",(B575-C575)/D575)</f>
        <v/>
      </c>
      <c r="H575" s="13">
        <f>MEDIAN(B546:B575)</f>
        <v/>
      </c>
      <c r="I575" s="13">
        <f>MEDIAN(ABS(B546:B575-H575))</f>
        <v/>
      </c>
      <c r="J575" s="15">
        <f>IF(I575=0,"",0.6745*(B575-H575)/I575)</f>
        <v/>
      </c>
      <c r="K575" s="13">
        <f>0.2*B575+0.8*K574</f>
        <v/>
      </c>
      <c r="L575" s="13">
        <f>C575+3*D575*SQRT(0.2/(2-0.2))</f>
        <v/>
      </c>
      <c r="M575" s="13">
        <f>C575-3*D575*SQRT(0.2/(2-0.2))</f>
        <v/>
      </c>
      <c r="N575" s="13">
        <f>MAX(0,N574+(B575-C575-0.5*D575))</f>
        <v/>
      </c>
      <c r="O575" s="13">
        <f>MIN(0,O574+(B575-C575+0.5*D575))</f>
        <v/>
      </c>
      <c r="P575">
        <f>IF(ABS(G575)&gt;1,P574+1,0)</f>
        <v/>
      </c>
      <c r="Q575">
        <f>IFS(OR(ABS(G575)&gt;3,N575&gt;5*D575,ABS(O575)&gt;5*D575,P575&gt;=5),"CRITICAL",OR(ABS(G575)&gt;2,P575&gt;=3,ABS(J575)&gt;3.5),"EARLY WARNING",ABS(G575)&gt;1,"WATCH",TRUE,"NORMAL")</f>
        <v/>
      </c>
    </row>
    <row r="576">
      <c r="A576" s="12" t="n">
        <v>45601</v>
      </c>
      <c r="B576" s="13">
        <f>Raw_Data!B576</f>
        <v/>
      </c>
      <c r="C576" s="13">
        <f>AVERAGE(B547:B576)</f>
        <v/>
      </c>
      <c r="D576" s="13">
        <f>STDEV.S(B547:B576)</f>
        <v/>
      </c>
      <c r="E576" s="13">
        <f>C576+3*D576</f>
        <v/>
      </c>
      <c r="F576" s="13">
        <f>C576-3*D576</f>
        <v/>
      </c>
      <c r="G576" s="15">
        <f>IF(D576=0,"",(B576-C576)/D576)</f>
        <v/>
      </c>
      <c r="H576" s="13">
        <f>MEDIAN(B547:B576)</f>
        <v/>
      </c>
      <c r="I576" s="13">
        <f>MEDIAN(ABS(B547:B576-H576))</f>
        <v/>
      </c>
      <c r="J576" s="15">
        <f>IF(I576=0,"",0.6745*(B576-H576)/I576)</f>
        <v/>
      </c>
      <c r="K576" s="13">
        <f>0.2*B576+0.8*K575</f>
        <v/>
      </c>
      <c r="L576" s="13">
        <f>C576+3*D576*SQRT(0.2/(2-0.2))</f>
        <v/>
      </c>
      <c r="M576" s="13">
        <f>C576-3*D576*SQRT(0.2/(2-0.2))</f>
        <v/>
      </c>
      <c r="N576" s="13">
        <f>MAX(0,N575+(B576-C576-0.5*D576))</f>
        <v/>
      </c>
      <c r="O576" s="13">
        <f>MIN(0,O575+(B576-C576+0.5*D576))</f>
        <v/>
      </c>
      <c r="P576">
        <f>IF(ABS(G576)&gt;1,P575+1,0)</f>
        <v/>
      </c>
      <c r="Q576">
        <f>IFS(OR(ABS(G576)&gt;3,N576&gt;5*D576,ABS(O576)&gt;5*D576,P576&gt;=5),"CRITICAL",OR(ABS(G576)&gt;2,P576&gt;=3,ABS(J576)&gt;3.5),"EARLY WARNING",ABS(G576)&gt;1,"WATCH",TRUE,"NORMAL")</f>
        <v/>
      </c>
    </row>
    <row r="577">
      <c r="A577" s="12" t="n">
        <v>45602</v>
      </c>
      <c r="B577" s="13">
        <f>Raw_Data!B577</f>
        <v/>
      </c>
      <c r="C577" s="13">
        <f>AVERAGE(B548:B577)</f>
        <v/>
      </c>
      <c r="D577" s="13">
        <f>STDEV.S(B548:B577)</f>
        <v/>
      </c>
      <c r="E577" s="13">
        <f>C577+3*D577</f>
        <v/>
      </c>
      <c r="F577" s="13">
        <f>C577-3*D577</f>
        <v/>
      </c>
      <c r="G577" s="15">
        <f>IF(D577=0,"",(B577-C577)/D577)</f>
        <v/>
      </c>
      <c r="H577" s="13">
        <f>MEDIAN(B548:B577)</f>
        <v/>
      </c>
      <c r="I577" s="13">
        <f>MEDIAN(ABS(B548:B577-H577))</f>
        <v/>
      </c>
      <c r="J577" s="15">
        <f>IF(I577=0,"",0.6745*(B577-H577)/I577)</f>
        <v/>
      </c>
      <c r="K577" s="13">
        <f>0.2*B577+0.8*K576</f>
        <v/>
      </c>
      <c r="L577" s="13">
        <f>C577+3*D577*SQRT(0.2/(2-0.2))</f>
        <v/>
      </c>
      <c r="M577" s="13">
        <f>C577-3*D577*SQRT(0.2/(2-0.2))</f>
        <v/>
      </c>
      <c r="N577" s="13">
        <f>MAX(0,N576+(B577-C577-0.5*D577))</f>
        <v/>
      </c>
      <c r="O577" s="13">
        <f>MIN(0,O576+(B577-C577+0.5*D577))</f>
        <v/>
      </c>
      <c r="P577">
        <f>IF(ABS(G577)&gt;1,P576+1,0)</f>
        <v/>
      </c>
      <c r="Q577">
        <f>IFS(OR(ABS(G577)&gt;3,N577&gt;5*D577,ABS(O577)&gt;5*D577,P577&gt;=5),"CRITICAL",OR(ABS(G577)&gt;2,P577&gt;=3,ABS(J577)&gt;3.5),"EARLY WARNING",ABS(G577)&gt;1,"WATCH",TRUE,"NORMAL")</f>
        <v/>
      </c>
    </row>
    <row r="578">
      <c r="A578" s="12" t="n">
        <v>45603</v>
      </c>
      <c r="B578" s="13">
        <f>Raw_Data!B578</f>
        <v/>
      </c>
      <c r="C578" s="13">
        <f>AVERAGE(B549:B578)</f>
        <v/>
      </c>
      <c r="D578" s="13">
        <f>STDEV.S(B549:B578)</f>
        <v/>
      </c>
      <c r="E578" s="13">
        <f>C578+3*D578</f>
        <v/>
      </c>
      <c r="F578" s="13">
        <f>C578-3*D578</f>
        <v/>
      </c>
      <c r="G578" s="15">
        <f>IF(D578=0,"",(B578-C578)/D578)</f>
        <v/>
      </c>
      <c r="H578" s="13">
        <f>MEDIAN(B549:B578)</f>
        <v/>
      </c>
      <c r="I578" s="13">
        <f>MEDIAN(ABS(B549:B578-H578))</f>
        <v/>
      </c>
      <c r="J578" s="15">
        <f>IF(I578=0,"",0.6745*(B578-H578)/I578)</f>
        <v/>
      </c>
      <c r="K578" s="13">
        <f>0.2*B578+0.8*K577</f>
        <v/>
      </c>
      <c r="L578" s="13">
        <f>C578+3*D578*SQRT(0.2/(2-0.2))</f>
        <v/>
      </c>
      <c r="M578" s="13">
        <f>C578-3*D578*SQRT(0.2/(2-0.2))</f>
        <v/>
      </c>
      <c r="N578" s="13">
        <f>MAX(0,N577+(B578-C578-0.5*D578))</f>
        <v/>
      </c>
      <c r="O578" s="13">
        <f>MIN(0,O577+(B578-C578+0.5*D578))</f>
        <v/>
      </c>
      <c r="P578">
        <f>IF(ABS(G578)&gt;1,P577+1,0)</f>
        <v/>
      </c>
      <c r="Q578">
        <f>IFS(OR(ABS(G578)&gt;3,N578&gt;5*D578,ABS(O578)&gt;5*D578,P578&gt;=5),"CRITICAL",OR(ABS(G578)&gt;2,P578&gt;=3,ABS(J578)&gt;3.5),"EARLY WARNING",ABS(G578)&gt;1,"WATCH",TRUE,"NORMAL")</f>
        <v/>
      </c>
    </row>
    <row r="579">
      <c r="A579" s="12" t="n">
        <v>45604</v>
      </c>
      <c r="B579" s="13">
        <f>Raw_Data!B579</f>
        <v/>
      </c>
      <c r="C579" s="13">
        <f>AVERAGE(B550:B579)</f>
        <v/>
      </c>
      <c r="D579" s="13">
        <f>STDEV.S(B550:B579)</f>
        <v/>
      </c>
      <c r="E579" s="13">
        <f>C579+3*D579</f>
        <v/>
      </c>
      <c r="F579" s="13">
        <f>C579-3*D579</f>
        <v/>
      </c>
      <c r="G579" s="15">
        <f>IF(D579=0,"",(B579-C579)/D579)</f>
        <v/>
      </c>
      <c r="H579" s="13">
        <f>MEDIAN(B550:B579)</f>
        <v/>
      </c>
      <c r="I579" s="13">
        <f>MEDIAN(ABS(B550:B579-H579))</f>
        <v/>
      </c>
      <c r="J579" s="15">
        <f>IF(I579=0,"",0.6745*(B579-H579)/I579)</f>
        <v/>
      </c>
      <c r="K579" s="13">
        <f>0.2*B579+0.8*K578</f>
        <v/>
      </c>
      <c r="L579" s="13">
        <f>C579+3*D579*SQRT(0.2/(2-0.2))</f>
        <v/>
      </c>
      <c r="M579" s="13">
        <f>C579-3*D579*SQRT(0.2/(2-0.2))</f>
        <v/>
      </c>
      <c r="N579" s="13">
        <f>MAX(0,N578+(B579-C579-0.5*D579))</f>
        <v/>
      </c>
      <c r="O579" s="13">
        <f>MIN(0,O578+(B579-C579+0.5*D579))</f>
        <v/>
      </c>
      <c r="P579">
        <f>IF(ABS(G579)&gt;1,P578+1,0)</f>
        <v/>
      </c>
      <c r="Q579">
        <f>IFS(OR(ABS(G579)&gt;3,N579&gt;5*D579,ABS(O579)&gt;5*D579,P579&gt;=5),"CRITICAL",OR(ABS(G579)&gt;2,P579&gt;=3,ABS(J579)&gt;3.5),"EARLY WARNING",ABS(G579)&gt;1,"WATCH",TRUE,"NORMAL")</f>
        <v/>
      </c>
    </row>
    <row r="580">
      <c r="A580" s="12" t="n">
        <v>45605</v>
      </c>
      <c r="B580" s="13">
        <f>Raw_Data!B580</f>
        <v/>
      </c>
      <c r="C580" s="13">
        <f>AVERAGE(B551:B580)</f>
        <v/>
      </c>
      <c r="D580" s="13">
        <f>STDEV.S(B551:B580)</f>
        <v/>
      </c>
      <c r="E580" s="13">
        <f>C580+3*D580</f>
        <v/>
      </c>
      <c r="F580" s="13">
        <f>C580-3*D580</f>
        <v/>
      </c>
      <c r="G580" s="15">
        <f>IF(D580=0,"",(B580-C580)/D580)</f>
        <v/>
      </c>
      <c r="H580" s="13">
        <f>MEDIAN(B551:B580)</f>
        <v/>
      </c>
      <c r="I580" s="13">
        <f>MEDIAN(ABS(B551:B580-H580))</f>
        <v/>
      </c>
      <c r="J580" s="15">
        <f>IF(I580=0,"",0.6745*(B580-H580)/I580)</f>
        <v/>
      </c>
      <c r="K580" s="13">
        <f>0.2*B580+0.8*K579</f>
        <v/>
      </c>
      <c r="L580" s="13">
        <f>C580+3*D580*SQRT(0.2/(2-0.2))</f>
        <v/>
      </c>
      <c r="M580" s="13">
        <f>C580-3*D580*SQRT(0.2/(2-0.2))</f>
        <v/>
      </c>
      <c r="N580" s="13">
        <f>MAX(0,N579+(B580-C580-0.5*D580))</f>
        <v/>
      </c>
      <c r="O580" s="13">
        <f>MIN(0,O579+(B580-C580+0.5*D580))</f>
        <v/>
      </c>
      <c r="P580">
        <f>IF(ABS(G580)&gt;1,P579+1,0)</f>
        <v/>
      </c>
      <c r="Q580">
        <f>IFS(OR(ABS(G580)&gt;3,N580&gt;5*D580,ABS(O580)&gt;5*D580,P580&gt;=5),"CRITICAL",OR(ABS(G580)&gt;2,P580&gt;=3,ABS(J580)&gt;3.5),"EARLY WARNING",ABS(G580)&gt;1,"WATCH",TRUE,"NORMAL")</f>
        <v/>
      </c>
    </row>
    <row r="581">
      <c r="A581" s="12" t="n">
        <v>45606</v>
      </c>
      <c r="B581" s="13">
        <f>Raw_Data!B581</f>
        <v/>
      </c>
      <c r="C581" s="13">
        <f>AVERAGE(B552:B581)</f>
        <v/>
      </c>
      <c r="D581" s="13">
        <f>STDEV.S(B552:B581)</f>
        <v/>
      </c>
      <c r="E581" s="13">
        <f>C581+3*D581</f>
        <v/>
      </c>
      <c r="F581" s="13">
        <f>C581-3*D581</f>
        <v/>
      </c>
      <c r="G581" s="15">
        <f>IF(D581=0,"",(B581-C581)/D581)</f>
        <v/>
      </c>
      <c r="H581" s="13">
        <f>MEDIAN(B552:B581)</f>
        <v/>
      </c>
      <c r="I581" s="13">
        <f>MEDIAN(ABS(B552:B581-H581))</f>
        <v/>
      </c>
      <c r="J581" s="15">
        <f>IF(I581=0,"",0.6745*(B581-H581)/I581)</f>
        <v/>
      </c>
      <c r="K581" s="13">
        <f>0.2*B581+0.8*K580</f>
        <v/>
      </c>
      <c r="L581" s="13">
        <f>C581+3*D581*SQRT(0.2/(2-0.2))</f>
        <v/>
      </c>
      <c r="M581" s="13">
        <f>C581-3*D581*SQRT(0.2/(2-0.2))</f>
        <v/>
      </c>
      <c r="N581" s="13">
        <f>MAX(0,N580+(B581-C581-0.5*D581))</f>
        <v/>
      </c>
      <c r="O581" s="13">
        <f>MIN(0,O580+(B581-C581+0.5*D581))</f>
        <v/>
      </c>
      <c r="P581">
        <f>IF(ABS(G581)&gt;1,P580+1,0)</f>
        <v/>
      </c>
      <c r="Q581">
        <f>IFS(OR(ABS(G581)&gt;3,N581&gt;5*D581,ABS(O581)&gt;5*D581,P581&gt;=5),"CRITICAL",OR(ABS(G581)&gt;2,P581&gt;=3,ABS(J581)&gt;3.5),"EARLY WARNING",ABS(G581)&gt;1,"WATCH",TRUE,"NORMAL")</f>
        <v/>
      </c>
    </row>
    <row r="582">
      <c r="A582" s="12" t="n">
        <v>45607</v>
      </c>
      <c r="B582" s="13">
        <f>Raw_Data!B582</f>
        <v/>
      </c>
      <c r="C582" s="13">
        <f>AVERAGE(B553:B582)</f>
        <v/>
      </c>
      <c r="D582" s="13">
        <f>STDEV.S(B553:B582)</f>
        <v/>
      </c>
      <c r="E582" s="13">
        <f>C582+3*D582</f>
        <v/>
      </c>
      <c r="F582" s="13">
        <f>C582-3*D582</f>
        <v/>
      </c>
      <c r="G582" s="15">
        <f>IF(D582=0,"",(B582-C582)/D582)</f>
        <v/>
      </c>
      <c r="H582" s="13">
        <f>MEDIAN(B553:B582)</f>
        <v/>
      </c>
      <c r="I582" s="13">
        <f>MEDIAN(ABS(B553:B582-H582))</f>
        <v/>
      </c>
      <c r="J582" s="15">
        <f>IF(I582=0,"",0.6745*(B582-H582)/I582)</f>
        <v/>
      </c>
      <c r="K582" s="13">
        <f>0.2*B582+0.8*K581</f>
        <v/>
      </c>
      <c r="L582" s="13">
        <f>C582+3*D582*SQRT(0.2/(2-0.2))</f>
        <v/>
      </c>
      <c r="M582" s="13">
        <f>C582-3*D582*SQRT(0.2/(2-0.2))</f>
        <v/>
      </c>
      <c r="N582" s="13">
        <f>MAX(0,N581+(B582-C582-0.5*D582))</f>
        <v/>
      </c>
      <c r="O582" s="13">
        <f>MIN(0,O581+(B582-C582+0.5*D582))</f>
        <v/>
      </c>
      <c r="P582">
        <f>IF(ABS(G582)&gt;1,P581+1,0)</f>
        <v/>
      </c>
      <c r="Q582">
        <f>IFS(OR(ABS(G582)&gt;3,N582&gt;5*D582,ABS(O582)&gt;5*D582,P582&gt;=5),"CRITICAL",OR(ABS(G582)&gt;2,P582&gt;=3,ABS(J582)&gt;3.5),"EARLY WARNING",ABS(G582)&gt;1,"WATCH",TRUE,"NORMAL")</f>
        <v/>
      </c>
    </row>
    <row r="583">
      <c r="A583" s="12" t="n">
        <v>45608</v>
      </c>
      <c r="B583" s="13">
        <f>Raw_Data!B583</f>
        <v/>
      </c>
      <c r="C583" s="13">
        <f>AVERAGE(B554:B583)</f>
        <v/>
      </c>
      <c r="D583" s="13">
        <f>STDEV.S(B554:B583)</f>
        <v/>
      </c>
      <c r="E583" s="13">
        <f>C583+3*D583</f>
        <v/>
      </c>
      <c r="F583" s="13">
        <f>C583-3*D583</f>
        <v/>
      </c>
      <c r="G583" s="15">
        <f>IF(D583=0,"",(B583-C583)/D583)</f>
        <v/>
      </c>
      <c r="H583" s="13">
        <f>MEDIAN(B554:B583)</f>
        <v/>
      </c>
      <c r="I583" s="13">
        <f>MEDIAN(ABS(B554:B583-H583))</f>
        <v/>
      </c>
      <c r="J583" s="15">
        <f>IF(I583=0,"",0.6745*(B583-H583)/I583)</f>
        <v/>
      </c>
      <c r="K583" s="13">
        <f>0.2*B583+0.8*K582</f>
        <v/>
      </c>
      <c r="L583" s="13">
        <f>C583+3*D583*SQRT(0.2/(2-0.2))</f>
        <v/>
      </c>
      <c r="M583" s="13">
        <f>C583-3*D583*SQRT(0.2/(2-0.2))</f>
        <v/>
      </c>
      <c r="N583" s="13">
        <f>MAX(0,N582+(B583-C583-0.5*D583))</f>
        <v/>
      </c>
      <c r="O583" s="13">
        <f>MIN(0,O582+(B583-C583+0.5*D583))</f>
        <v/>
      </c>
      <c r="P583">
        <f>IF(ABS(G583)&gt;1,P582+1,0)</f>
        <v/>
      </c>
      <c r="Q583">
        <f>IFS(OR(ABS(G583)&gt;3,N583&gt;5*D583,ABS(O583)&gt;5*D583,P583&gt;=5),"CRITICAL",OR(ABS(G583)&gt;2,P583&gt;=3,ABS(J583)&gt;3.5),"EARLY WARNING",ABS(G583)&gt;1,"WATCH",TRUE,"NORMAL")</f>
        <v/>
      </c>
    </row>
    <row r="584">
      <c r="A584" s="12" t="n">
        <v>45609</v>
      </c>
      <c r="B584" s="13">
        <f>Raw_Data!B584</f>
        <v/>
      </c>
      <c r="C584" s="13">
        <f>AVERAGE(B555:B584)</f>
        <v/>
      </c>
      <c r="D584" s="13">
        <f>STDEV.S(B555:B584)</f>
        <v/>
      </c>
      <c r="E584" s="13">
        <f>C584+3*D584</f>
        <v/>
      </c>
      <c r="F584" s="13">
        <f>C584-3*D584</f>
        <v/>
      </c>
      <c r="G584" s="15">
        <f>IF(D584=0,"",(B584-C584)/D584)</f>
        <v/>
      </c>
      <c r="H584" s="13">
        <f>MEDIAN(B555:B584)</f>
        <v/>
      </c>
      <c r="I584" s="13">
        <f>MEDIAN(ABS(B555:B584-H584))</f>
        <v/>
      </c>
      <c r="J584" s="15">
        <f>IF(I584=0,"",0.6745*(B584-H584)/I584)</f>
        <v/>
      </c>
      <c r="K584" s="13">
        <f>0.2*B584+0.8*K583</f>
        <v/>
      </c>
      <c r="L584" s="13">
        <f>C584+3*D584*SQRT(0.2/(2-0.2))</f>
        <v/>
      </c>
      <c r="M584" s="13">
        <f>C584-3*D584*SQRT(0.2/(2-0.2))</f>
        <v/>
      </c>
      <c r="N584" s="13">
        <f>MAX(0,N583+(B584-C584-0.5*D584))</f>
        <v/>
      </c>
      <c r="O584" s="13">
        <f>MIN(0,O583+(B584-C584+0.5*D584))</f>
        <v/>
      </c>
      <c r="P584">
        <f>IF(ABS(G584)&gt;1,P583+1,0)</f>
        <v/>
      </c>
      <c r="Q584">
        <f>IFS(OR(ABS(G584)&gt;3,N584&gt;5*D584,ABS(O584)&gt;5*D584,P584&gt;=5),"CRITICAL",OR(ABS(G584)&gt;2,P584&gt;=3,ABS(J584)&gt;3.5),"EARLY WARNING",ABS(G584)&gt;1,"WATCH",TRUE,"NORMAL")</f>
        <v/>
      </c>
    </row>
    <row r="585">
      <c r="A585" s="12" t="n">
        <v>45610</v>
      </c>
      <c r="B585" s="13">
        <f>Raw_Data!B585</f>
        <v/>
      </c>
      <c r="C585" s="13">
        <f>AVERAGE(B556:B585)</f>
        <v/>
      </c>
      <c r="D585" s="13">
        <f>STDEV.S(B556:B585)</f>
        <v/>
      </c>
      <c r="E585" s="13">
        <f>C585+3*D585</f>
        <v/>
      </c>
      <c r="F585" s="13">
        <f>C585-3*D585</f>
        <v/>
      </c>
      <c r="G585" s="15">
        <f>IF(D585=0,"",(B585-C585)/D585)</f>
        <v/>
      </c>
      <c r="H585" s="13">
        <f>MEDIAN(B556:B585)</f>
        <v/>
      </c>
      <c r="I585" s="13">
        <f>MEDIAN(ABS(B556:B585-H585))</f>
        <v/>
      </c>
      <c r="J585" s="15">
        <f>IF(I585=0,"",0.6745*(B585-H585)/I585)</f>
        <v/>
      </c>
      <c r="K585" s="13">
        <f>0.2*B585+0.8*K584</f>
        <v/>
      </c>
      <c r="L585" s="13">
        <f>C585+3*D585*SQRT(0.2/(2-0.2))</f>
        <v/>
      </c>
      <c r="M585" s="13">
        <f>C585-3*D585*SQRT(0.2/(2-0.2))</f>
        <v/>
      </c>
      <c r="N585" s="13">
        <f>MAX(0,N584+(B585-C585-0.5*D585))</f>
        <v/>
      </c>
      <c r="O585" s="13">
        <f>MIN(0,O584+(B585-C585+0.5*D585))</f>
        <v/>
      </c>
      <c r="P585">
        <f>IF(ABS(G585)&gt;1,P584+1,0)</f>
        <v/>
      </c>
      <c r="Q585">
        <f>IFS(OR(ABS(G585)&gt;3,N585&gt;5*D585,ABS(O585)&gt;5*D585,P585&gt;=5),"CRITICAL",OR(ABS(G585)&gt;2,P585&gt;=3,ABS(J585)&gt;3.5),"EARLY WARNING",ABS(G585)&gt;1,"WATCH",TRUE,"NORMAL")</f>
        <v/>
      </c>
    </row>
    <row r="586">
      <c r="A586" s="12" t="n">
        <v>45611</v>
      </c>
      <c r="B586" s="13">
        <f>Raw_Data!B586</f>
        <v/>
      </c>
      <c r="C586" s="13">
        <f>AVERAGE(B557:B586)</f>
        <v/>
      </c>
      <c r="D586" s="13">
        <f>STDEV.S(B557:B586)</f>
        <v/>
      </c>
      <c r="E586" s="13">
        <f>C586+3*D586</f>
        <v/>
      </c>
      <c r="F586" s="13">
        <f>C586-3*D586</f>
        <v/>
      </c>
      <c r="G586" s="15">
        <f>IF(D586=0,"",(B586-C586)/D586)</f>
        <v/>
      </c>
      <c r="H586" s="13">
        <f>MEDIAN(B557:B586)</f>
        <v/>
      </c>
      <c r="I586" s="13">
        <f>MEDIAN(ABS(B557:B586-H586))</f>
        <v/>
      </c>
      <c r="J586" s="15">
        <f>IF(I586=0,"",0.6745*(B586-H586)/I586)</f>
        <v/>
      </c>
      <c r="K586" s="13">
        <f>0.2*B586+0.8*K585</f>
        <v/>
      </c>
      <c r="L586" s="13">
        <f>C586+3*D586*SQRT(0.2/(2-0.2))</f>
        <v/>
      </c>
      <c r="M586" s="13">
        <f>C586-3*D586*SQRT(0.2/(2-0.2))</f>
        <v/>
      </c>
      <c r="N586" s="13">
        <f>MAX(0,N585+(B586-C586-0.5*D586))</f>
        <v/>
      </c>
      <c r="O586" s="13">
        <f>MIN(0,O585+(B586-C586+0.5*D586))</f>
        <v/>
      </c>
      <c r="P586">
        <f>IF(ABS(G586)&gt;1,P585+1,0)</f>
        <v/>
      </c>
      <c r="Q586">
        <f>IFS(OR(ABS(G586)&gt;3,N586&gt;5*D586,ABS(O586)&gt;5*D586,P586&gt;=5),"CRITICAL",OR(ABS(G586)&gt;2,P586&gt;=3,ABS(J586)&gt;3.5),"EARLY WARNING",ABS(G586)&gt;1,"WATCH",TRUE,"NORMAL")</f>
        <v/>
      </c>
    </row>
    <row r="587">
      <c r="A587" s="12" t="n">
        <v>45612</v>
      </c>
      <c r="B587" s="13">
        <f>Raw_Data!B587</f>
        <v/>
      </c>
      <c r="C587" s="13">
        <f>AVERAGE(B558:B587)</f>
        <v/>
      </c>
      <c r="D587" s="13">
        <f>STDEV.S(B558:B587)</f>
        <v/>
      </c>
      <c r="E587" s="13">
        <f>C587+3*D587</f>
        <v/>
      </c>
      <c r="F587" s="13">
        <f>C587-3*D587</f>
        <v/>
      </c>
      <c r="G587" s="15">
        <f>IF(D587=0,"",(B587-C587)/D587)</f>
        <v/>
      </c>
      <c r="H587" s="13">
        <f>MEDIAN(B558:B587)</f>
        <v/>
      </c>
      <c r="I587" s="13">
        <f>MEDIAN(ABS(B558:B587-H587))</f>
        <v/>
      </c>
      <c r="J587" s="15">
        <f>IF(I587=0,"",0.6745*(B587-H587)/I587)</f>
        <v/>
      </c>
      <c r="K587" s="13">
        <f>0.2*B587+0.8*K586</f>
        <v/>
      </c>
      <c r="L587" s="13">
        <f>C587+3*D587*SQRT(0.2/(2-0.2))</f>
        <v/>
      </c>
      <c r="M587" s="13">
        <f>C587-3*D587*SQRT(0.2/(2-0.2))</f>
        <v/>
      </c>
      <c r="N587" s="13">
        <f>MAX(0,N586+(B587-C587-0.5*D587))</f>
        <v/>
      </c>
      <c r="O587" s="13">
        <f>MIN(0,O586+(B587-C587+0.5*D587))</f>
        <v/>
      </c>
      <c r="P587">
        <f>IF(ABS(G587)&gt;1,P586+1,0)</f>
        <v/>
      </c>
      <c r="Q587">
        <f>IFS(OR(ABS(G587)&gt;3,N587&gt;5*D587,ABS(O587)&gt;5*D587,P587&gt;=5),"CRITICAL",OR(ABS(G587)&gt;2,P587&gt;=3,ABS(J587)&gt;3.5),"EARLY WARNING",ABS(G587)&gt;1,"WATCH",TRUE,"NORMAL")</f>
        <v/>
      </c>
    </row>
    <row r="588">
      <c r="A588" s="12" t="n">
        <v>45613</v>
      </c>
      <c r="B588" s="13">
        <f>Raw_Data!B588</f>
        <v/>
      </c>
      <c r="C588" s="13">
        <f>AVERAGE(B559:B588)</f>
        <v/>
      </c>
      <c r="D588" s="13">
        <f>STDEV.S(B559:B588)</f>
        <v/>
      </c>
      <c r="E588" s="13">
        <f>C588+3*D588</f>
        <v/>
      </c>
      <c r="F588" s="13">
        <f>C588-3*D588</f>
        <v/>
      </c>
      <c r="G588" s="15">
        <f>IF(D588=0,"",(B588-C588)/D588)</f>
        <v/>
      </c>
      <c r="H588" s="13">
        <f>MEDIAN(B559:B588)</f>
        <v/>
      </c>
      <c r="I588" s="13">
        <f>MEDIAN(ABS(B559:B588-H588))</f>
        <v/>
      </c>
      <c r="J588" s="15">
        <f>IF(I588=0,"",0.6745*(B588-H588)/I588)</f>
        <v/>
      </c>
      <c r="K588" s="13">
        <f>0.2*B588+0.8*K587</f>
        <v/>
      </c>
      <c r="L588" s="13">
        <f>C588+3*D588*SQRT(0.2/(2-0.2))</f>
        <v/>
      </c>
      <c r="M588" s="13">
        <f>C588-3*D588*SQRT(0.2/(2-0.2))</f>
        <v/>
      </c>
      <c r="N588" s="13">
        <f>MAX(0,N587+(B588-C588-0.5*D588))</f>
        <v/>
      </c>
      <c r="O588" s="13">
        <f>MIN(0,O587+(B588-C588+0.5*D588))</f>
        <v/>
      </c>
      <c r="P588">
        <f>IF(ABS(G588)&gt;1,P587+1,0)</f>
        <v/>
      </c>
      <c r="Q588">
        <f>IFS(OR(ABS(G588)&gt;3,N588&gt;5*D588,ABS(O588)&gt;5*D588,P588&gt;=5),"CRITICAL",OR(ABS(G588)&gt;2,P588&gt;=3,ABS(J588)&gt;3.5),"EARLY WARNING",ABS(G588)&gt;1,"WATCH",TRUE,"NORMAL")</f>
        <v/>
      </c>
    </row>
    <row r="589">
      <c r="A589" s="12" t="n">
        <v>45614</v>
      </c>
      <c r="B589" s="13">
        <f>Raw_Data!B589</f>
        <v/>
      </c>
      <c r="C589" s="13">
        <f>AVERAGE(B560:B589)</f>
        <v/>
      </c>
      <c r="D589" s="13">
        <f>STDEV.S(B560:B589)</f>
        <v/>
      </c>
      <c r="E589" s="13">
        <f>C589+3*D589</f>
        <v/>
      </c>
      <c r="F589" s="13">
        <f>C589-3*D589</f>
        <v/>
      </c>
      <c r="G589" s="15">
        <f>IF(D589=0,"",(B589-C589)/D589)</f>
        <v/>
      </c>
      <c r="H589" s="13">
        <f>MEDIAN(B560:B589)</f>
        <v/>
      </c>
      <c r="I589" s="13">
        <f>MEDIAN(ABS(B560:B589-H589))</f>
        <v/>
      </c>
      <c r="J589" s="15">
        <f>IF(I589=0,"",0.6745*(B589-H589)/I589)</f>
        <v/>
      </c>
      <c r="K589" s="13">
        <f>0.2*B589+0.8*K588</f>
        <v/>
      </c>
      <c r="L589" s="13">
        <f>C589+3*D589*SQRT(0.2/(2-0.2))</f>
        <v/>
      </c>
      <c r="M589" s="13">
        <f>C589-3*D589*SQRT(0.2/(2-0.2))</f>
        <v/>
      </c>
      <c r="N589" s="13">
        <f>MAX(0,N588+(B589-C589-0.5*D589))</f>
        <v/>
      </c>
      <c r="O589" s="13">
        <f>MIN(0,O588+(B589-C589+0.5*D589))</f>
        <v/>
      </c>
      <c r="P589">
        <f>IF(ABS(G589)&gt;1,P588+1,0)</f>
        <v/>
      </c>
      <c r="Q589">
        <f>IFS(OR(ABS(G589)&gt;3,N589&gt;5*D589,ABS(O589)&gt;5*D589,P589&gt;=5),"CRITICAL",OR(ABS(G589)&gt;2,P589&gt;=3,ABS(J589)&gt;3.5),"EARLY WARNING",ABS(G589)&gt;1,"WATCH",TRUE,"NORMAL")</f>
        <v/>
      </c>
    </row>
    <row r="590">
      <c r="A590" s="12" t="n">
        <v>45615</v>
      </c>
      <c r="B590" s="13">
        <f>Raw_Data!B590</f>
        <v/>
      </c>
      <c r="C590" s="13">
        <f>AVERAGE(B561:B590)</f>
        <v/>
      </c>
      <c r="D590" s="13">
        <f>STDEV.S(B561:B590)</f>
        <v/>
      </c>
      <c r="E590" s="13">
        <f>C590+3*D590</f>
        <v/>
      </c>
      <c r="F590" s="13">
        <f>C590-3*D590</f>
        <v/>
      </c>
      <c r="G590" s="15">
        <f>IF(D590=0,"",(B590-C590)/D590)</f>
        <v/>
      </c>
      <c r="H590" s="13">
        <f>MEDIAN(B561:B590)</f>
        <v/>
      </c>
      <c r="I590" s="13">
        <f>MEDIAN(ABS(B561:B590-H590))</f>
        <v/>
      </c>
      <c r="J590" s="15">
        <f>IF(I590=0,"",0.6745*(B590-H590)/I590)</f>
        <v/>
      </c>
      <c r="K590" s="13">
        <f>0.2*B590+0.8*K589</f>
        <v/>
      </c>
      <c r="L590" s="13">
        <f>C590+3*D590*SQRT(0.2/(2-0.2))</f>
        <v/>
      </c>
      <c r="M590" s="13">
        <f>C590-3*D590*SQRT(0.2/(2-0.2))</f>
        <v/>
      </c>
      <c r="N590" s="13">
        <f>MAX(0,N589+(B590-C590-0.5*D590))</f>
        <v/>
      </c>
      <c r="O590" s="13">
        <f>MIN(0,O589+(B590-C590+0.5*D590))</f>
        <v/>
      </c>
      <c r="P590">
        <f>IF(ABS(G590)&gt;1,P589+1,0)</f>
        <v/>
      </c>
      <c r="Q590">
        <f>IFS(OR(ABS(G590)&gt;3,N590&gt;5*D590,ABS(O590)&gt;5*D590,P590&gt;=5),"CRITICAL",OR(ABS(G590)&gt;2,P590&gt;=3,ABS(J590)&gt;3.5),"EARLY WARNING",ABS(G590)&gt;1,"WATCH",TRUE,"NORMAL")</f>
        <v/>
      </c>
    </row>
    <row r="591">
      <c r="A591" s="12" t="n">
        <v>45616</v>
      </c>
      <c r="B591" s="13">
        <f>Raw_Data!B591</f>
        <v/>
      </c>
      <c r="C591" s="13">
        <f>AVERAGE(B562:B591)</f>
        <v/>
      </c>
      <c r="D591" s="13">
        <f>STDEV.S(B562:B591)</f>
        <v/>
      </c>
      <c r="E591" s="13">
        <f>C591+3*D591</f>
        <v/>
      </c>
      <c r="F591" s="13">
        <f>C591-3*D591</f>
        <v/>
      </c>
      <c r="G591" s="15">
        <f>IF(D591=0,"",(B591-C591)/D591)</f>
        <v/>
      </c>
      <c r="H591" s="13">
        <f>MEDIAN(B562:B591)</f>
        <v/>
      </c>
      <c r="I591" s="13">
        <f>MEDIAN(ABS(B562:B591-H591))</f>
        <v/>
      </c>
      <c r="J591" s="15">
        <f>IF(I591=0,"",0.6745*(B591-H591)/I591)</f>
        <v/>
      </c>
      <c r="K591" s="13">
        <f>0.2*B591+0.8*K590</f>
        <v/>
      </c>
      <c r="L591" s="13">
        <f>C591+3*D591*SQRT(0.2/(2-0.2))</f>
        <v/>
      </c>
      <c r="M591" s="13">
        <f>C591-3*D591*SQRT(0.2/(2-0.2))</f>
        <v/>
      </c>
      <c r="N591" s="13">
        <f>MAX(0,N590+(B591-C591-0.5*D591))</f>
        <v/>
      </c>
      <c r="O591" s="13">
        <f>MIN(0,O590+(B591-C591+0.5*D591))</f>
        <v/>
      </c>
      <c r="P591">
        <f>IF(ABS(G591)&gt;1,P590+1,0)</f>
        <v/>
      </c>
      <c r="Q591">
        <f>IFS(OR(ABS(G591)&gt;3,N591&gt;5*D591,ABS(O591)&gt;5*D591,P591&gt;=5),"CRITICAL",OR(ABS(G591)&gt;2,P591&gt;=3,ABS(J591)&gt;3.5),"EARLY WARNING",ABS(G591)&gt;1,"WATCH",TRUE,"NORMAL")</f>
        <v/>
      </c>
    </row>
    <row r="592">
      <c r="A592" s="12" t="n">
        <v>45617</v>
      </c>
      <c r="B592" s="13">
        <f>Raw_Data!B592</f>
        <v/>
      </c>
      <c r="C592" s="13">
        <f>AVERAGE(B563:B592)</f>
        <v/>
      </c>
      <c r="D592" s="13">
        <f>STDEV.S(B563:B592)</f>
        <v/>
      </c>
      <c r="E592" s="13">
        <f>C592+3*D592</f>
        <v/>
      </c>
      <c r="F592" s="13">
        <f>C592-3*D592</f>
        <v/>
      </c>
      <c r="G592" s="15">
        <f>IF(D592=0,"",(B592-C592)/D592)</f>
        <v/>
      </c>
      <c r="H592" s="13">
        <f>MEDIAN(B563:B592)</f>
        <v/>
      </c>
      <c r="I592" s="13">
        <f>MEDIAN(ABS(B563:B592-H592))</f>
        <v/>
      </c>
      <c r="J592" s="15">
        <f>IF(I592=0,"",0.6745*(B592-H592)/I592)</f>
        <v/>
      </c>
      <c r="K592" s="13">
        <f>0.2*B592+0.8*K591</f>
        <v/>
      </c>
      <c r="L592" s="13">
        <f>C592+3*D592*SQRT(0.2/(2-0.2))</f>
        <v/>
      </c>
      <c r="M592" s="13">
        <f>C592-3*D592*SQRT(0.2/(2-0.2))</f>
        <v/>
      </c>
      <c r="N592" s="13">
        <f>MAX(0,N591+(B592-C592-0.5*D592))</f>
        <v/>
      </c>
      <c r="O592" s="13">
        <f>MIN(0,O591+(B592-C592+0.5*D592))</f>
        <v/>
      </c>
      <c r="P592">
        <f>IF(ABS(G592)&gt;1,P591+1,0)</f>
        <v/>
      </c>
      <c r="Q592">
        <f>IFS(OR(ABS(G592)&gt;3,N592&gt;5*D592,ABS(O592)&gt;5*D592,P592&gt;=5),"CRITICAL",OR(ABS(G592)&gt;2,P592&gt;=3,ABS(J592)&gt;3.5),"EARLY WARNING",ABS(G592)&gt;1,"WATCH",TRUE,"NORMAL")</f>
        <v/>
      </c>
    </row>
    <row r="593">
      <c r="A593" s="12" t="n">
        <v>45618</v>
      </c>
      <c r="B593" s="13">
        <f>Raw_Data!B593</f>
        <v/>
      </c>
      <c r="C593" s="13">
        <f>AVERAGE(B564:B593)</f>
        <v/>
      </c>
      <c r="D593" s="13">
        <f>STDEV.S(B564:B593)</f>
        <v/>
      </c>
      <c r="E593" s="13">
        <f>C593+3*D593</f>
        <v/>
      </c>
      <c r="F593" s="13">
        <f>C593-3*D593</f>
        <v/>
      </c>
      <c r="G593" s="15">
        <f>IF(D593=0,"",(B593-C593)/D593)</f>
        <v/>
      </c>
      <c r="H593" s="13">
        <f>MEDIAN(B564:B593)</f>
        <v/>
      </c>
      <c r="I593" s="13">
        <f>MEDIAN(ABS(B564:B593-H593))</f>
        <v/>
      </c>
      <c r="J593" s="15">
        <f>IF(I593=0,"",0.6745*(B593-H593)/I593)</f>
        <v/>
      </c>
      <c r="K593" s="13">
        <f>0.2*B593+0.8*K592</f>
        <v/>
      </c>
      <c r="L593" s="13">
        <f>C593+3*D593*SQRT(0.2/(2-0.2))</f>
        <v/>
      </c>
      <c r="M593" s="13">
        <f>C593-3*D593*SQRT(0.2/(2-0.2))</f>
        <v/>
      </c>
      <c r="N593" s="13">
        <f>MAX(0,N592+(B593-C593-0.5*D593))</f>
        <v/>
      </c>
      <c r="O593" s="13">
        <f>MIN(0,O592+(B593-C593+0.5*D593))</f>
        <v/>
      </c>
      <c r="P593">
        <f>IF(ABS(G593)&gt;1,P592+1,0)</f>
        <v/>
      </c>
      <c r="Q593">
        <f>IFS(OR(ABS(G593)&gt;3,N593&gt;5*D593,ABS(O593)&gt;5*D593,P593&gt;=5),"CRITICAL",OR(ABS(G593)&gt;2,P593&gt;=3,ABS(J593)&gt;3.5),"EARLY WARNING",ABS(G593)&gt;1,"WATCH",TRUE,"NORMAL")</f>
        <v/>
      </c>
    </row>
    <row r="594">
      <c r="A594" s="12" t="n">
        <v>45619</v>
      </c>
      <c r="B594" s="13">
        <f>Raw_Data!B594</f>
        <v/>
      </c>
      <c r="C594" s="13">
        <f>AVERAGE(B565:B594)</f>
        <v/>
      </c>
      <c r="D594" s="13">
        <f>STDEV.S(B565:B594)</f>
        <v/>
      </c>
      <c r="E594" s="13">
        <f>C594+3*D594</f>
        <v/>
      </c>
      <c r="F594" s="13">
        <f>C594-3*D594</f>
        <v/>
      </c>
      <c r="G594" s="15">
        <f>IF(D594=0,"",(B594-C594)/D594)</f>
        <v/>
      </c>
      <c r="H594" s="13">
        <f>MEDIAN(B565:B594)</f>
        <v/>
      </c>
      <c r="I594" s="13">
        <f>MEDIAN(ABS(B565:B594-H594))</f>
        <v/>
      </c>
      <c r="J594" s="15">
        <f>IF(I594=0,"",0.6745*(B594-H594)/I594)</f>
        <v/>
      </c>
      <c r="K594" s="13">
        <f>0.2*B594+0.8*K593</f>
        <v/>
      </c>
      <c r="L594" s="13">
        <f>C594+3*D594*SQRT(0.2/(2-0.2))</f>
        <v/>
      </c>
      <c r="M594" s="13">
        <f>C594-3*D594*SQRT(0.2/(2-0.2))</f>
        <v/>
      </c>
      <c r="N594" s="13">
        <f>MAX(0,N593+(B594-C594-0.5*D594))</f>
        <v/>
      </c>
      <c r="O594" s="13">
        <f>MIN(0,O593+(B594-C594+0.5*D594))</f>
        <v/>
      </c>
      <c r="P594">
        <f>IF(ABS(G594)&gt;1,P593+1,0)</f>
        <v/>
      </c>
      <c r="Q594">
        <f>IFS(OR(ABS(G594)&gt;3,N594&gt;5*D594,ABS(O594)&gt;5*D594,P594&gt;=5),"CRITICAL",OR(ABS(G594)&gt;2,P594&gt;=3,ABS(J594)&gt;3.5),"EARLY WARNING",ABS(G594)&gt;1,"WATCH",TRUE,"NORMAL")</f>
        <v/>
      </c>
    </row>
    <row r="595">
      <c r="A595" s="12" t="n">
        <v>45620</v>
      </c>
      <c r="B595" s="13">
        <f>Raw_Data!B595</f>
        <v/>
      </c>
      <c r="C595" s="13">
        <f>AVERAGE(B566:B595)</f>
        <v/>
      </c>
      <c r="D595" s="13">
        <f>STDEV.S(B566:B595)</f>
        <v/>
      </c>
      <c r="E595" s="13">
        <f>C595+3*D595</f>
        <v/>
      </c>
      <c r="F595" s="13">
        <f>C595-3*D595</f>
        <v/>
      </c>
      <c r="G595" s="15">
        <f>IF(D595=0,"",(B595-C595)/D595)</f>
        <v/>
      </c>
      <c r="H595" s="13">
        <f>MEDIAN(B566:B595)</f>
        <v/>
      </c>
      <c r="I595" s="13">
        <f>MEDIAN(ABS(B566:B595-H595))</f>
        <v/>
      </c>
      <c r="J595" s="15">
        <f>IF(I595=0,"",0.6745*(B595-H595)/I595)</f>
        <v/>
      </c>
      <c r="K595" s="13">
        <f>0.2*B595+0.8*K594</f>
        <v/>
      </c>
      <c r="L595" s="13">
        <f>C595+3*D595*SQRT(0.2/(2-0.2))</f>
        <v/>
      </c>
      <c r="M595" s="13">
        <f>C595-3*D595*SQRT(0.2/(2-0.2))</f>
        <v/>
      </c>
      <c r="N595" s="13">
        <f>MAX(0,N594+(B595-C595-0.5*D595))</f>
        <v/>
      </c>
      <c r="O595" s="13">
        <f>MIN(0,O594+(B595-C595+0.5*D595))</f>
        <v/>
      </c>
      <c r="P595">
        <f>IF(ABS(G595)&gt;1,P594+1,0)</f>
        <v/>
      </c>
      <c r="Q595">
        <f>IFS(OR(ABS(G595)&gt;3,N595&gt;5*D595,ABS(O595)&gt;5*D595,P595&gt;=5),"CRITICAL",OR(ABS(G595)&gt;2,P595&gt;=3,ABS(J595)&gt;3.5),"EARLY WARNING",ABS(G595)&gt;1,"WATCH",TRUE,"NORMAL")</f>
        <v/>
      </c>
    </row>
    <row r="596">
      <c r="A596" s="12" t="n">
        <v>45621</v>
      </c>
      <c r="B596" s="13">
        <f>Raw_Data!B596</f>
        <v/>
      </c>
      <c r="C596" s="13">
        <f>AVERAGE(B567:B596)</f>
        <v/>
      </c>
      <c r="D596" s="13">
        <f>STDEV.S(B567:B596)</f>
        <v/>
      </c>
      <c r="E596" s="13">
        <f>C596+3*D596</f>
        <v/>
      </c>
      <c r="F596" s="13">
        <f>C596-3*D596</f>
        <v/>
      </c>
      <c r="G596" s="15">
        <f>IF(D596=0,"",(B596-C596)/D596)</f>
        <v/>
      </c>
      <c r="H596" s="13">
        <f>MEDIAN(B567:B596)</f>
        <v/>
      </c>
      <c r="I596" s="13">
        <f>MEDIAN(ABS(B567:B596-H596))</f>
        <v/>
      </c>
      <c r="J596" s="15">
        <f>IF(I596=0,"",0.6745*(B596-H596)/I596)</f>
        <v/>
      </c>
      <c r="K596" s="13">
        <f>0.2*B596+0.8*K595</f>
        <v/>
      </c>
      <c r="L596" s="13">
        <f>C596+3*D596*SQRT(0.2/(2-0.2))</f>
        <v/>
      </c>
      <c r="M596" s="13">
        <f>C596-3*D596*SQRT(0.2/(2-0.2))</f>
        <v/>
      </c>
      <c r="N596" s="13">
        <f>MAX(0,N595+(B596-C596-0.5*D596))</f>
        <v/>
      </c>
      <c r="O596" s="13">
        <f>MIN(0,O595+(B596-C596+0.5*D596))</f>
        <v/>
      </c>
      <c r="P596">
        <f>IF(ABS(G596)&gt;1,P595+1,0)</f>
        <v/>
      </c>
      <c r="Q596">
        <f>IFS(OR(ABS(G596)&gt;3,N596&gt;5*D596,ABS(O596)&gt;5*D596,P596&gt;=5),"CRITICAL",OR(ABS(G596)&gt;2,P596&gt;=3,ABS(J596)&gt;3.5),"EARLY WARNING",ABS(G596)&gt;1,"WATCH",TRUE,"NORMAL")</f>
        <v/>
      </c>
    </row>
    <row r="597">
      <c r="A597" s="12" t="n">
        <v>45622</v>
      </c>
      <c r="B597" s="13">
        <f>Raw_Data!B597</f>
        <v/>
      </c>
      <c r="C597" s="13">
        <f>AVERAGE(B568:B597)</f>
        <v/>
      </c>
      <c r="D597" s="13">
        <f>STDEV.S(B568:B597)</f>
        <v/>
      </c>
      <c r="E597" s="13">
        <f>C597+3*D597</f>
        <v/>
      </c>
      <c r="F597" s="13">
        <f>C597-3*D597</f>
        <v/>
      </c>
      <c r="G597" s="15">
        <f>IF(D597=0,"",(B597-C597)/D597)</f>
        <v/>
      </c>
      <c r="H597" s="13">
        <f>MEDIAN(B568:B597)</f>
        <v/>
      </c>
      <c r="I597" s="13">
        <f>MEDIAN(ABS(B568:B597-H597))</f>
        <v/>
      </c>
      <c r="J597" s="15">
        <f>IF(I597=0,"",0.6745*(B597-H597)/I597)</f>
        <v/>
      </c>
      <c r="K597" s="13">
        <f>0.2*B597+0.8*K596</f>
        <v/>
      </c>
      <c r="L597" s="13">
        <f>C597+3*D597*SQRT(0.2/(2-0.2))</f>
        <v/>
      </c>
      <c r="M597" s="13">
        <f>C597-3*D597*SQRT(0.2/(2-0.2))</f>
        <v/>
      </c>
      <c r="N597" s="13">
        <f>MAX(0,N596+(B597-C597-0.5*D597))</f>
        <v/>
      </c>
      <c r="O597" s="13">
        <f>MIN(0,O596+(B597-C597+0.5*D597))</f>
        <v/>
      </c>
      <c r="P597">
        <f>IF(ABS(G597)&gt;1,P596+1,0)</f>
        <v/>
      </c>
      <c r="Q597">
        <f>IFS(OR(ABS(G597)&gt;3,N597&gt;5*D597,ABS(O597)&gt;5*D597,P597&gt;=5),"CRITICAL",OR(ABS(G597)&gt;2,P597&gt;=3,ABS(J597)&gt;3.5),"EARLY WARNING",ABS(G597)&gt;1,"WATCH",TRUE,"NORMAL")</f>
        <v/>
      </c>
    </row>
    <row r="598">
      <c r="A598" s="12" t="n">
        <v>45623</v>
      </c>
      <c r="B598" s="13">
        <f>Raw_Data!B598</f>
        <v/>
      </c>
      <c r="C598" s="13">
        <f>AVERAGE(B569:B598)</f>
        <v/>
      </c>
      <c r="D598" s="13">
        <f>STDEV.S(B569:B598)</f>
        <v/>
      </c>
      <c r="E598" s="13">
        <f>C598+3*D598</f>
        <v/>
      </c>
      <c r="F598" s="13">
        <f>C598-3*D598</f>
        <v/>
      </c>
      <c r="G598" s="15">
        <f>IF(D598=0,"",(B598-C598)/D598)</f>
        <v/>
      </c>
      <c r="H598" s="13">
        <f>MEDIAN(B569:B598)</f>
        <v/>
      </c>
      <c r="I598" s="13">
        <f>MEDIAN(ABS(B569:B598-H598))</f>
        <v/>
      </c>
      <c r="J598" s="15">
        <f>IF(I598=0,"",0.6745*(B598-H598)/I598)</f>
        <v/>
      </c>
      <c r="K598" s="13">
        <f>0.2*B598+0.8*K597</f>
        <v/>
      </c>
      <c r="L598" s="13">
        <f>C598+3*D598*SQRT(0.2/(2-0.2))</f>
        <v/>
      </c>
      <c r="M598" s="13">
        <f>C598-3*D598*SQRT(0.2/(2-0.2))</f>
        <v/>
      </c>
      <c r="N598" s="13">
        <f>MAX(0,N597+(B598-C598-0.5*D598))</f>
        <v/>
      </c>
      <c r="O598" s="13">
        <f>MIN(0,O597+(B598-C598+0.5*D598))</f>
        <v/>
      </c>
      <c r="P598">
        <f>IF(ABS(G598)&gt;1,P597+1,0)</f>
        <v/>
      </c>
      <c r="Q598">
        <f>IFS(OR(ABS(G598)&gt;3,N598&gt;5*D598,ABS(O598)&gt;5*D598,P598&gt;=5),"CRITICAL",OR(ABS(G598)&gt;2,P598&gt;=3,ABS(J598)&gt;3.5),"EARLY WARNING",ABS(G598)&gt;1,"WATCH",TRUE,"NORMAL")</f>
        <v/>
      </c>
    </row>
    <row r="599">
      <c r="A599" s="12" t="n">
        <v>45624</v>
      </c>
      <c r="B599" s="13">
        <f>Raw_Data!B599</f>
        <v/>
      </c>
      <c r="C599" s="13">
        <f>AVERAGE(B570:B599)</f>
        <v/>
      </c>
      <c r="D599" s="13">
        <f>STDEV.S(B570:B599)</f>
        <v/>
      </c>
      <c r="E599" s="13">
        <f>C599+3*D599</f>
        <v/>
      </c>
      <c r="F599" s="13">
        <f>C599-3*D599</f>
        <v/>
      </c>
      <c r="G599" s="15">
        <f>IF(D599=0,"",(B599-C599)/D599)</f>
        <v/>
      </c>
      <c r="H599" s="13">
        <f>MEDIAN(B570:B599)</f>
        <v/>
      </c>
      <c r="I599" s="13">
        <f>MEDIAN(ABS(B570:B599-H599))</f>
        <v/>
      </c>
      <c r="J599" s="15">
        <f>IF(I599=0,"",0.6745*(B599-H599)/I599)</f>
        <v/>
      </c>
      <c r="K599" s="13">
        <f>0.2*B599+0.8*K598</f>
        <v/>
      </c>
      <c r="L599" s="13">
        <f>C599+3*D599*SQRT(0.2/(2-0.2))</f>
        <v/>
      </c>
      <c r="M599" s="13">
        <f>C599-3*D599*SQRT(0.2/(2-0.2))</f>
        <v/>
      </c>
      <c r="N599" s="13">
        <f>MAX(0,N598+(B599-C599-0.5*D599))</f>
        <v/>
      </c>
      <c r="O599" s="13">
        <f>MIN(0,O598+(B599-C599+0.5*D599))</f>
        <v/>
      </c>
      <c r="P599">
        <f>IF(ABS(G599)&gt;1,P598+1,0)</f>
        <v/>
      </c>
      <c r="Q599">
        <f>IFS(OR(ABS(G599)&gt;3,N599&gt;5*D599,ABS(O599)&gt;5*D599,P599&gt;=5),"CRITICAL",OR(ABS(G599)&gt;2,P599&gt;=3,ABS(J599)&gt;3.5),"EARLY WARNING",ABS(G599)&gt;1,"WATCH",TRUE,"NORMAL")</f>
        <v/>
      </c>
    </row>
    <row r="600">
      <c r="A600" s="12" t="n">
        <v>45625</v>
      </c>
      <c r="B600" s="13">
        <f>Raw_Data!B600</f>
        <v/>
      </c>
      <c r="C600" s="13">
        <f>AVERAGE(B571:B600)</f>
        <v/>
      </c>
      <c r="D600" s="13">
        <f>STDEV.S(B571:B600)</f>
        <v/>
      </c>
      <c r="E600" s="13">
        <f>C600+3*D600</f>
        <v/>
      </c>
      <c r="F600" s="13">
        <f>C600-3*D600</f>
        <v/>
      </c>
      <c r="G600" s="15">
        <f>IF(D600=0,"",(B600-C600)/D600)</f>
        <v/>
      </c>
      <c r="H600" s="13">
        <f>MEDIAN(B571:B600)</f>
        <v/>
      </c>
      <c r="I600" s="13">
        <f>MEDIAN(ABS(B571:B600-H600))</f>
        <v/>
      </c>
      <c r="J600" s="15">
        <f>IF(I600=0,"",0.6745*(B600-H600)/I600)</f>
        <v/>
      </c>
      <c r="K600" s="13">
        <f>0.2*B600+0.8*K599</f>
        <v/>
      </c>
      <c r="L600" s="13">
        <f>C600+3*D600*SQRT(0.2/(2-0.2))</f>
        <v/>
      </c>
      <c r="M600" s="13">
        <f>C600-3*D600*SQRT(0.2/(2-0.2))</f>
        <v/>
      </c>
      <c r="N600" s="13">
        <f>MAX(0,N599+(B600-C600-0.5*D600))</f>
        <v/>
      </c>
      <c r="O600" s="13">
        <f>MIN(0,O599+(B600-C600+0.5*D600))</f>
        <v/>
      </c>
      <c r="P600">
        <f>IF(ABS(G600)&gt;1,P599+1,0)</f>
        <v/>
      </c>
      <c r="Q600">
        <f>IFS(OR(ABS(G600)&gt;3,N600&gt;5*D600,ABS(O600)&gt;5*D600,P600&gt;=5),"CRITICAL",OR(ABS(G600)&gt;2,P600&gt;=3,ABS(J600)&gt;3.5),"EARLY WARNING",ABS(G600)&gt;1,"WATCH",TRUE,"NORMAL")</f>
        <v/>
      </c>
    </row>
    <row r="601">
      <c r="A601" s="12" t="n">
        <v>45626</v>
      </c>
      <c r="B601" s="13">
        <f>Raw_Data!B601</f>
        <v/>
      </c>
      <c r="C601" s="13">
        <f>AVERAGE(B572:B601)</f>
        <v/>
      </c>
      <c r="D601" s="13">
        <f>STDEV.S(B572:B601)</f>
        <v/>
      </c>
      <c r="E601" s="13">
        <f>C601+3*D601</f>
        <v/>
      </c>
      <c r="F601" s="13">
        <f>C601-3*D601</f>
        <v/>
      </c>
      <c r="G601" s="15">
        <f>IF(D601=0,"",(B601-C601)/D601)</f>
        <v/>
      </c>
      <c r="H601" s="13">
        <f>MEDIAN(B572:B601)</f>
        <v/>
      </c>
      <c r="I601" s="13">
        <f>MEDIAN(ABS(B572:B601-H601))</f>
        <v/>
      </c>
      <c r="J601" s="15">
        <f>IF(I601=0,"",0.6745*(B601-H601)/I601)</f>
        <v/>
      </c>
      <c r="K601" s="13">
        <f>0.2*B601+0.8*K600</f>
        <v/>
      </c>
      <c r="L601" s="13">
        <f>C601+3*D601*SQRT(0.2/(2-0.2))</f>
        <v/>
      </c>
      <c r="M601" s="13">
        <f>C601-3*D601*SQRT(0.2/(2-0.2))</f>
        <v/>
      </c>
      <c r="N601" s="13">
        <f>MAX(0,N600+(B601-C601-0.5*D601))</f>
        <v/>
      </c>
      <c r="O601" s="13">
        <f>MIN(0,O600+(B601-C601+0.5*D601))</f>
        <v/>
      </c>
      <c r="P601">
        <f>IF(ABS(G601)&gt;1,P600+1,0)</f>
        <v/>
      </c>
      <c r="Q601">
        <f>IFS(OR(ABS(G601)&gt;3,N601&gt;5*D601,ABS(O601)&gt;5*D601,P601&gt;=5),"CRITICAL",OR(ABS(G601)&gt;2,P601&gt;=3,ABS(J601)&gt;3.5),"EARLY WARNING",ABS(G601)&gt;1,"WATCH",TRUE,"NORMAL")</f>
        <v/>
      </c>
    </row>
    <row r="602">
      <c r="A602" s="12" t="n">
        <v>45627</v>
      </c>
      <c r="B602" s="13">
        <f>Raw_Data!B602</f>
        <v/>
      </c>
      <c r="C602" s="13">
        <f>AVERAGE(B573:B602)</f>
        <v/>
      </c>
      <c r="D602" s="13">
        <f>STDEV.S(B573:B602)</f>
        <v/>
      </c>
      <c r="E602" s="13">
        <f>C602+3*D602</f>
        <v/>
      </c>
      <c r="F602" s="13">
        <f>C602-3*D602</f>
        <v/>
      </c>
      <c r="G602" s="15">
        <f>IF(D602=0,"",(B602-C602)/D602)</f>
        <v/>
      </c>
      <c r="H602" s="13">
        <f>MEDIAN(B573:B602)</f>
        <v/>
      </c>
      <c r="I602" s="13">
        <f>MEDIAN(ABS(B573:B602-H602))</f>
        <v/>
      </c>
      <c r="J602" s="15">
        <f>IF(I602=0,"",0.6745*(B602-H602)/I602)</f>
        <v/>
      </c>
      <c r="K602" s="13">
        <f>0.2*B602+0.8*K601</f>
        <v/>
      </c>
      <c r="L602" s="13">
        <f>C602+3*D602*SQRT(0.2/(2-0.2))</f>
        <v/>
      </c>
      <c r="M602" s="13">
        <f>C602-3*D602*SQRT(0.2/(2-0.2))</f>
        <v/>
      </c>
      <c r="N602" s="13">
        <f>MAX(0,N601+(B602-C602-0.5*D602))</f>
        <v/>
      </c>
      <c r="O602" s="13">
        <f>MIN(0,O601+(B602-C602+0.5*D602))</f>
        <v/>
      </c>
      <c r="P602">
        <f>IF(ABS(G602)&gt;1,P601+1,0)</f>
        <v/>
      </c>
      <c r="Q602">
        <f>IFS(OR(ABS(G602)&gt;3,N602&gt;5*D602,ABS(O602)&gt;5*D602,P602&gt;=5),"CRITICAL",OR(ABS(G602)&gt;2,P602&gt;=3,ABS(J602)&gt;3.5),"EARLY WARNING",ABS(G602)&gt;1,"WATCH",TRUE,"NORMAL")</f>
        <v/>
      </c>
    </row>
    <row r="603">
      <c r="A603" s="12" t="n">
        <v>45628</v>
      </c>
      <c r="B603" s="13">
        <f>Raw_Data!B603</f>
        <v/>
      </c>
      <c r="C603" s="13">
        <f>AVERAGE(B574:B603)</f>
        <v/>
      </c>
      <c r="D603" s="13">
        <f>STDEV.S(B574:B603)</f>
        <v/>
      </c>
      <c r="E603" s="13">
        <f>C603+3*D603</f>
        <v/>
      </c>
      <c r="F603" s="13">
        <f>C603-3*D603</f>
        <v/>
      </c>
      <c r="G603" s="15">
        <f>IF(D603=0,"",(B603-C603)/D603)</f>
        <v/>
      </c>
      <c r="H603" s="13">
        <f>MEDIAN(B574:B603)</f>
        <v/>
      </c>
      <c r="I603" s="13">
        <f>MEDIAN(ABS(B574:B603-H603))</f>
        <v/>
      </c>
      <c r="J603" s="15">
        <f>IF(I603=0,"",0.6745*(B603-H603)/I603)</f>
        <v/>
      </c>
      <c r="K603" s="13">
        <f>0.2*B603+0.8*K602</f>
        <v/>
      </c>
      <c r="L603" s="13">
        <f>C603+3*D603*SQRT(0.2/(2-0.2))</f>
        <v/>
      </c>
      <c r="M603" s="13">
        <f>C603-3*D603*SQRT(0.2/(2-0.2))</f>
        <v/>
      </c>
      <c r="N603" s="13">
        <f>MAX(0,N602+(B603-C603-0.5*D603))</f>
        <v/>
      </c>
      <c r="O603" s="13">
        <f>MIN(0,O602+(B603-C603+0.5*D603))</f>
        <v/>
      </c>
      <c r="P603">
        <f>IF(ABS(G603)&gt;1,P602+1,0)</f>
        <v/>
      </c>
      <c r="Q603">
        <f>IFS(OR(ABS(G603)&gt;3,N603&gt;5*D603,ABS(O603)&gt;5*D603,P603&gt;=5),"CRITICAL",OR(ABS(G603)&gt;2,P603&gt;=3,ABS(J603)&gt;3.5),"EARLY WARNING",ABS(G603)&gt;1,"WATCH",TRUE,"NORMAL")</f>
        <v/>
      </c>
    </row>
    <row r="604">
      <c r="A604" s="12" t="n">
        <v>45629</v>
      </c>
      <c r="B604" s="13">
        <f>Raw_Data!B604</f>
        <v/>
      </c>
      <c r="C604" s="13">
        <f>AVERAGE(B575:B604)</f>
        <v/>
      </c>
      <c r="D604" s="13">
        <f>STDEV.S(B575:B604)</f>
        <v/>
      </c>
      <c r="E604" s="13">
        <f>C604+3*D604</f>
        <v/>
      </c>
      <c r="F604" s="13">
        <f>C604-3*D604</f>
        <v/>
      </c>
      <c r="G604" s="15">
        <f>IF(D604=0,"",(B604-C604)/D604)</f>
        <v/>
      </c>
      <c r="H604" s="13">
        <f>MEDIAN(B575:B604)</f>
        <v/>
      </c>
      <c r="I604" s="13">
        <f>MEDIAN(ABS(B575:B604-H604))</f>
        <v/>
      </c>
      <c r="J604" s="15">
        <f>IF(I604=0,"",0.6745*(B604-H604)/I604)</f>
        <v/>
      </c>
      <c r="K604" s="13">
        <f>0.2*B604+0.8*K603</f>
        <v/>
      </c>
      <c r="L604" s="13">
        <f>C604+3*D604*SQRT(0.2/(2-0.2))</f>
        <v/>
      </c>
      <c r="M604" s="13">
        <f>C604-3*D604*SQRT(0.2/(2-0.2))</f>
        <v/>
      </c>
      <c r="N604" s="13">
        <f>MAX(0,N603+(B604-C604-0.5*D604))</f>
        <v/>
      </c>
      <c r="O604" s="13">
        <f>MIN(0,O603+(B604-C604+0.5*D604))</f>
        <v/>
      </c>
      <c r="P604">
        <f>IF(ABS(G604)&gt;1,P603+1,0)</f>
        <v/>
      </c>
      <c r="Q604">
        <f>IFS(OR(ABS(G604)&gt;3,N604&gt;5*D604,ABS(O604)&gt;5*D604,P604&gt;=5),"CRITICAL",OR(ABS(G604)&gt;2,P604&gt;=3,ABS(J604)&gt;3.5),"EARLY WARNING",ABS(G604)&gt;1,"WATCH",TRUE,"NORMAL")</f>
        <v/>
      </c>
    </row>
    <row r="605">
      <c r="A605" s="12" t="n">
        <v>45630</v>
      </c>
      <c r="B605" s="13">
        <f>Raw_Data!B605</f>
        <v/>
      </c>
      <c r="C605" s="13">
        <f>AVERAGE(B576:B605)</f>
        <v/>
      </c>
      <c r="D605" s="13">
        <f>STDEV.S(B576:B605)</f>
        <v/>
      </c>
      <c r="E605" s="13">
        <f>C605+3*D605</f>
        <v/>
      </c>
      <c r="F605" s="13">
        <f>C605-3*D605</f>
        <v/>
      </c>
      <c r="G605" s="15">
        <f>IF(D605=0,"",(B605-C605)/D605)</f>
        <v/>
      </c>
      <c r="H605" s="13">
        <f>MEDIAN(B576:B605)</f>
        <v/>
      </c>
      <c r="I605" s="13">
        <f>MEDIAN(ABS(B576:B605-H605))</f>
        <v/>
      </c>
      <c r="J605" s="15">
        <f>IF(I605=0,"",0.6745*(B605-H605)/I605)</f>
        <v/>
      </c>
      <c r="K605" s="13">
        <f>0.2*B605+0.8*K604</f>
        <v/>
      </c>
      <c r="L605" s="13">
        <f>C605+3*D605*SQRT(0.2/(2-0.2))</f>
        <v/>
      </c>
      <c r="M605" s="13">
        <f>C605-3*D605*SQRT(0.2/(2-0.2))</f>
        <v/>
      </c>
      <c r="N605" s="13">
        <f>MAX(0,N604+(B605-C605-0.5*D605))</f>
        <v/>
      </c>
      <c r="O605" s="13">
        <f>MIN(0,O604+(B605-C605+0.5*D605))</f>
        <v/>
      </c>
      <c r="P605">
        <f>IF(ABS(G605)&gt;1,P604+1,0)</f>
        <v/>
      </c>
      <c r="Q605">
        <f>IFS(OR(ABS(G605)&gt;3,N605&gt;5*D605,ABS(O605)&gt;5*D605,P605&gt;=5),"CRITICAL",OR(ABS(G605)&gt;2,P605&gt;=3,ABS(J605)&gt;3.5),"EARLY WARNING",ABS(G605)&gt;1,"WATCH",TRUE,"NORMAL")</f>
        <v/>
      </c>
    </row>
    <row r="606">
      <c r="A606" s="12" t="n">
        <v>45631</v>
      </c>
      <c r="B606" s="13">
        <f>Raw_Data!B606</f>
        <v/>
      </c>
      <c r="C606" s="13">
        <f>AVERAGE(B577:B606)</f>
        <v/>
      </c>
      <c r="D606" s="13">
        <f>STDEV.S(B577:B606)</f>
        <v/>
      </c>
      <c r="E606" s="13">
        <f>C606+3*D606</f>
        <v/>
      </c>
      <c r="F606" s="13">
        <f>C606-3*D606</f>
        <v/>
      </c>
      <c r="G606" s="15">
        <f>IF(D606=0,"",(B606-C606)/D606)</f>
        <v/>
      </c>
      <c r="H606" s="13">
        <f>MEDIAN(B577:B606)</f>
        <v/>
      </c>
      <c r="I606" s="13">
        <f>MEDIAN(ABS(B577:B606-H606))</f>
        <v/>
      </c>
      <c r="J606" s="15">
        <f>IF(I606=0,"",0.6745*(B606-H606)/I606)</f>
        <v/>
      </c>
      <c r="K606" s="13">
        <f>0.2*B606+0.8*K605</f>
        <v/>
      </c>
      <c r="L606" s="13">
        <f>C606+3*D606*SQRT(0.2/(2-0.2))</f>
        <v/>
      </c>
      <c r="M606" s="13">
        <f>C606-3*D606*SQRT(0.2/(2-0.2))</f>
        <v/>
      </c>
      <c r="N606" s="13">
        <f>MAX(0,N605+(B606-C606-0.5*D606))</f>
        <v/>
      </c>
      <c r="O606" s="13">
        <f>MIN(0,O605+(B606-C606+0.5*D606))</f>
        <v/>
      </c>
      <c r="P606">
        <f>IF(ABS(G606)&gt;1,P605+1,0)</f>
        <v/>
      </c>
      <c r="Q606">
        <f>IFS(OR(ABS(G606)&gt;3,N606&gt;5*D606,ABS(O606)&gt;5*D606,P606&gt;=5),"CRITICAL",OR(ABS(G606)&gt;2,P606&gt;=3,ABS(J606)&gt;3.5),"EARLY WARNING",ABS(G606)&gt;1,"WATCH",TRUE,"NORMAL")</f>
        <v/>
      </c>
    </row>
    <row r="607">
      <c r="A607" s="12" t="n">
        <v>45632</v>
      </c>
      <c r="B607" s="13">
        <f>Raw_Data!B607</f>
        <v/>
      </c>
      <c r="C607" s="13">
        <f>AVERAGE(B578:B607)</f>
        <v/>
      </c>
      <c r="D607" s="13">
        <f>STDEV.S(B578:B607)</f>
        <v/>
      </c>
      <c r="E607" s="13">
        <f>C607+3*D607</f>
        <v/>
      </c>
      <c r="F607" s="13">
        <f>C607-3*D607</f>
        <v/>
      </c>
      <c r="G607" s="15">
        <f>IF(D607=0,"",(B607-C607)/D607)</f>
        <v/>
      </c>
      <c r="H607" s="13">
        <f>MEDIAN(B578:B607)</f>
        <v/>
      </c>
      <c r="I607" s="13">
        <f>MEDIAN(ABS(B578:B607-H607))</f>
        <v/>
      </c>
      <c r="J607" s="15">
        <f>IF(I607=0,"",0.6745*(B607-H607)/I607)</f>
        <v/>
      </c>
      <c r="K607" s="13">
        <f>0.2*B607+0.8*K606</f>
        <v/>
      </c>
      <c r="L607" s="13">
        <f>C607+3*D607*SQRT(0.2/(2-0.2))</f>
        <v/>
      </c>
      <c r="M607" s="13">
        <f>C607-3*D607*SQRT(0.2/(2-0.2))</f>
        <v/>
      </c>
      <c r="N607" s="13">
        <f>MAX(0,N606+(B607-C607-0.5*D607))</f>
        <v/>
      </c>
      <c r="O607" s="13">
        <f>MIN(0,O606+(B607-C607+0.5*D607))</f>
        <v/>
      </c>
      <c r="P607">
        <f>IF(ABS(G607)&gt;1,P606+1,0)</f>
        <v/>
      </c>
      <c r="Q607">
        <f>IFS(OR(ABS(G607)&gt;3,N607&gt;5*D607,ABS(O607)&gt;5*D607,P607&gt;=5),"CRITICAL",OR(ABS(G607)&gt;2,P607&gt;=3,ABS(J607)&gt;3.5),"EARLY WARNING",ABS(G607)&gt;1,"WATCH",TRUE,"NORMAL")</f>
        <v/>
      </c>
    </row>
    <row r="608">
      <c r="A608" s="12" t="n">
        <v>45633</v>
      </c>
      <c r="B608" s="13">
        <f>Raw_Data!B608</f>
        <v/>
      </c>
      <c r="C608" s="13">
        <f>AVERAGE(B579:B608)</f>
        <v/>
      </c>
      <c r="D608" s="13">
        <f>STDEV.S(B579:B608)</f>
        <v/>
      </c>
      <c r="E608" s="13">
        <f>C608+3*D608</f>
        <v/>
      </c>
      <c r="F608" s="13">
        <f>C608-3*D608</f>
        <v/>
      </c>
      <c r="G608" s="15">
        <f>IF(D608=0,"",(B608-C608)/D608)</f>
        <v/>
      </c>
      <c r="H608" s="13">
        <f>MEDIAN(B579:B608)</f>
        <v/>
      </c>
      <c r="I608" s="13">
        <f>MEDIAN(ABS(B579:B608-H608))</f>
        <v/>
      </c>
      <c r="J608" s="15">
        <f>IF(I608=0,"",0.6745*(B608-H608)/I608)</f>
        <v/>
      </c>
      <c r="K608" s="13">
        <f>0.2*B608+0.8*K607</f>
        <v/>
      </c>
      <c r="L608" s="13">
        <f>C608+3*D608*SQRT(0.2/(2-0.2))</f>
        <v/>
      </c>
      <c r="M608" s="13">
        <f>C608-3*D608*SQRT(0.2/(2-0.2))</f>
        <v/>
      </c>
      <c r="N608" s="13">
        <f>MAX(0,N607+(B608-C608-0.5*D608))</f>
        <v/>
      </c>
      <c r="O608" s="13">
        <f>MIN(0,O607+(B608-C608+0.5*D608))</f>
        <v/>
      </c>
      <c r="P608">
        <f>IF(ABS(G608)&gt;1,P607+1,0)</f>
        <v/>
      </c>
      <c r="Q608">
        <f>IFS(OR(ABS(G608)&gt;3,N608&gt;5*D608,ABS(O608)&gt;5*D608,P608&gt;=5),"CRITICAL",OR(ABS(G608)&gt;2,P608&gt;=3,ABS(J608)&gt;3.5),"EARLY WARNING",ABS(G608)&gt;1,"WATCH",TRUE,"NORMAL")</f>
        <v/>
      </c>
    </row>
    <row r="609">
      <c r="A609" s="12" t="n">
        <v>45634</v>
      </c>
      <c r="B609" s="13">
        <f>Raw_Data!B609</f>
        <v/>
      </c>
      <c r="C609" s="13">
        <f>AVERAGE(B580:B609)</f>
        <v/>
      </c>
      <c r="D609" s="13">
        <f>STDEV.S(B580:B609)</f>
        <v/>
      </c>
      <c r="E609" s="13">
        <f>C609+3*D609</f>
        <v/>
      </c>
      <c r="F609" s="13">
        <f>C609-3*D609</f>
        <v/>
      </c>
      <c r="G609" s="15">
        <f>IF(D609=0,"",(B609-C609)/D609)</f>
        <v/>
      </c>
      <c r="H609" s="13">
        <f>MEDIAN(B580:B609)</f>
        <v/>
      </c>
      <c r="I609" s="13">
        <f>MEDIAN(ABS(B580:B609-H609))</f>
        <v/>
      </c>
      <c r="J609" s="15">
        <f>IF(I609=0,"",0.6745*(B609-H609)/I609)</f>
        <v/>
      </c>
      <c r="K609" s="13">
        <f>0.2*B609+0.8*K608</f>
        <v/>
      </c>
      <c r="L609" s="13">
        <f>C609+3*D609*SQRT(0.2/(2-0.2))</f>
        <v/>
      </c>
      <c r="M609" s="13">
        <f>C609-3*D609*SQRT(0.2/(2-0.2))</f>
        <v/>
      </c>
      <c r="N609" s="13">
        <f>MAX(0,N608+(B609-C609-0.5*D609))</f>
        <v/>
      </c>
      <c r="O609" s="13">
        <f>MIN(0,O608+(B609-C609+0.5*D609))</f>
        <v/>
      </c>
      <c r="P609">
        <f>IF(ABS(G609)&gt;1,P608+1,0)</f>
        <v/>
      </c>
      <c r="Q609">
        <f>IFS(OR(ABS(G609)&gt;3,N609&gt;5*D609,ABS(O609)&gt;5*D609,P609&gt;=5),"CRITICAL",OR(ABS(G609)&gt;2,P609&gt;=3,ABS(J609)&gt;3.5),"EARLY WARNING",ABS(G609)&gt;1,"WATCH",TRUE,"NORMAL")</f>
        <v/>
      </c>
    </row>
    <row r="610">
      <c r="A610" s="12" t="n">
        <v>45635</v>
      </c>
      <c r="B610" s="13">
        <f>Raw_Data!B610</f>
        <v/>
      </c>
      <c r="C610" s="13">
        <f>AVERAGE(B581:B610)</f>
        <v/>
      </c>
      <c r="D610" s="13">
        <f>STDEV.S(B581:B610)</f>
        <v/>
      </c>
      <c r="E610" s="13">
        <f>C610+3*D610</f>
        <v/>
      </c>
      <c r="F610" s="13">
        <f>C610-3*D610</f>
        <v/>
      </c>
      <c r="G610" s="15">
        <f>IF(D610=0,"",(B610-C610)/D610)</f>
        <v/>
      </c>
      <c r="H610" s="13">
        <f>MEDIAN(B581:B610)</f>
        <v/>
      </c>
      <c r="I610" s="13">
        <f>MEDIAN(ABS(B581:B610-H610))</f>
        <v/>
      </c>
      <c r="J610" s="15">
        <f>IF(I610=0,"",0.6745*(B610-H610)/I610)</f>
        <v/>
      </c>
      <c r="K610" s="13">
        <f>0.2*B610+0.8*K609</f>
        <v/>
      </c>
      <c r="L610" s="13">
        <f>C610+3*D610*SQRT(0.2/(2-0.2))</f>
        <v/>
      </c>
      <c r="M610" s="13">
        <f>C610-3*D610*SQRT(0.2/(2-0.2))</f>
        <v/>
      </c>
      <c r="N610" s="13">
        <f>MAX(0,N609+(B610-C610-0.5*D610))</f>
        <v/>
      </c>
      <c r="O610" s="13">
        <f>MIN(0,O609+(B610-C610+0.5*D610))</f>
        <v/>
      </c>
      <c r="P610">
        <f>IF(ABS(G610)&gt;1,P609+1,0)</f>
        <v/>
      </c>
      <c r="Q610">
        <f>IFS(OR(ABS(G610)&gt;3,N610&gt;5*D610,ABS(O610)&gt;5*D610,P610&gt;=5),"CRITICAL",OR(ABS(G610)&gt;2,P610&gt;=3,ABS(J610)&gt;3.5),"EARLY WARNING",ABS(G610)&gt;1,"WATCH",TRUE,"NORMAL")</f>
        <v/>
      </c>
    </row>
    <row r="611">
      <c r="A611" s="12" t="n">
        <v>45636</v>
      </c>
      <c r="B611" s="13">
        <f>Raw_Data!B611</f>
        <v/>
      </c>
      <c r="C611" s="13">
        <f>AVERAGE(B582:B611)</f>
        <v/>
      </c>
      <c r="D611" s="13">
        <f>STDEV.S(B582:B611)</f>
        <v/>
      </c>
      <c r="E611" s="13">
        <f>C611+3*D611</f>
        <v/>
      </c>
      <c r="F611" s="13">
        <f>C611-3*D611</f>
        <v/>
      </c>
      <c r="G611" s="15">
        <f>IF(D611=0,"",(B611-C611)/D611)</f>
        <v/>
      </c>
      <c r="H611" s="13">
        <f>MEDIAN(B582:B611)</f>
        <v/>
      </c>
      <c r="I611" s="13">
        <f>MEDIAN(ABS(B582:B611-H611))</f>
        <v/>
      </c>
      <c r="J611" s="15">
        <f>IF(I611=0,"",0.6745*(B611-H611)/I611)</f>
        <v/>
      </c>
      <c r="K611" s="13">
        <f>0.2*B611+0.8*K610</f>
        <v/>
      </c>
      <c r="L611" s="13">
        <f>C611+3*D611*SQRT(0.2/(2-0.2))</f>
        <v/>
      </c>
      <c r="M611" s="13">
        <f>C611-3*D611*SQRT(0.2/(2-0.2))</f>
        <v/>
      </c>
      <c r="N611" s="13">
        <f>MAX(0,N610+(B611-C611-0.5*D611))</f>
        <v/>
      </c>
      <c r="O611" s="13">
        <f>MIN(0,O610+(B611-C611+0.5*D611))</f>
        <v/>
      </c>
      <c r="P611">
        <f>IF(ABS(G611)&gt;1,P610+1,0)</f>
        <v/>
      </c>
      <c r="Q611">
        <f>IFS(OR(ABS(G611)&gt;3,N611&gt;5*D611,ABS(O611)&gt;5*D611,P611&gt;=5),"CRITICAL",OR(ABS(G611)&gt;2,P611&gt;=3,ABS(J611)&gt;3.5),"EARLY WARNING",ABS(G611)&gt;1,"WATCH",TRUE,"NORMAL")</f>
        <v/>
      </c>
    </row>
    <row r="612">
      <c r="A612" s="12" t="n">
        <v>45637</v>
      </c>
      <c r="B612" s="13">
        <f>Raw_Data!B612</f>
        <v/>
      </c>
      <c r="C612" s="13">
        <f>AVERAGE(B583:B612)</f>
        <v/>
      </c>
      <c r="D612" s="13">
        <f>STDEV.S(B583:B612)</f>
        <v/>
      </c>
      <c r="E612" s="13">
        <f>C612+3*D612</f>
        <v/>
      </c>
      <c r="F612" s="13">
        <f>C612-3*D612</f>
        <v/>
      </c>
      <c r="G612" s="15">
        <f>IF(D612=0,"",(B612-C612)/D612)</f>
        <v/>
      </c>
      <c r="H612" s="13">
        <f>MEDIAN(B583:B612)</f>
        <v/>
      </c>
      <c r="I612" s="13">
        <f>MEDIAN(ABS(B583:B612-H612))</f>
        <v/>
      </c>
      <c r="J612" s="15">
        <f>IF(I612=0,"",0.6745*(B612-H612)/I612)</f>
        <v/>
      </c>
      <c r="K612" s="13">
        <f>0.2*B612+0.8*K611</f>
        <v/>
      </c>
      <c r="L612" s="13">
        <f>C612+3*D612*SQRT(0.2/(2-0.2))</f>
        <v/>
      </c>
      <c r="M612" s="13">
        <f>C612-3*D612*SQRT(0.2/(2-0.2))</f>
        <v/>
      </c>
      <c r="N612" s="13">
        <f>MAX(0,N611+(B612-C612-0.5*D612))</f>
        <v/>
      </c>
      <c r="O612" s="13">
        <f>MIN(0,O611+(B612-C612+0.5*D612))</f>
        <v/>
      </c>
      <c r="P612">
        <f>IF(ABS(G612)&gt;1,P611+1,0)</f>
        <v/>
      </c>
      <c r="Q612">
        <f>IFS(OR(ABS(G612)&gt;3,N612&gt;5*D612,ABS(O612)&gt;5*D612,P612&gt;=5),"CRITICAL",OR(ABS(G612)&gt;2,P612&gt;=3,ABS(J612)&gt;3.5),"EARLY WARNING",ABS(G612)&gt;1,"WATCH",TRUE,"NORMAL")</f>
        <v/>
      </c>
    </row>
    <row r="613">
      <c r="A613" s="12" t="n">
        <v>45638</v>
      </c>
      <c r="B613" s="13">
        <f>Raw_Data!B613</f>
        <v/>
      </c>
      <c r="C613" s="13">
        <f>AVERAGE(B584:B613)</f>
        <v/>
      </c>
      <c r="D613" s="13">
        <f>STDEV.S(B584:B613)</f>
        <v/>
      </c>
      <c r="E613" s="13">
        <f>C613+3*D613</f>
        <v/>
      </c>
      <c r="F613" s="13">
        <f>C613-3*D613</f>
        <v/>
      </c>
      <c r="G613" s="15">
        <f>IF(D613=0,"",(B613-C613)/D613)</f>
        <v/>
      </c>
      <c r="H613" s="13">
        <f>MEDIAN(B584:B613)</f>
        <v/>
      </c>
      <c r="I613" s="13">
        <f>MEDIAN(ABS(B584:B613-H613))</f>
        <v/>
      </c>
      <c r="J613" s="15">
        <f>IF(I613=0,"",0.6745*(B613-H613)/I613)</f>
        <v/>
      </c>
      <c r="K613" s="13">
        <f>0.2*B613+0.8*K612</f>
        <v/>
      </c>
      <c r="L613" s="13">
        <f>C613+3*D613*SQRT(0.2/(2-0.2))</f>
        <v/>
      </c>
      <c r="M613" s="13">
        <f>C613-3*D613*SQRT(0.2/(2-0.2))</f>
        <v/>
      </c>
      <c r="N613" s="13">
        <f>MAX(0,N612+(B613-C613-0.5*D613))</f>
        <v/>
      </c>
      <c r="O613" s="13">
        <f>MIN(0,O612+(B613-C613+0.5*D613))</f>
        <v/>
      </c>
      <c r="P613">
        <f>IF(ABS(G613)&gt;1,P612+1,0)</f>
        <v/>
      </c>
      <c r="Q613">
        <f>IFS(OR(ABS(G613)&gt;3,N613&gt;5*D613,ABS(O613)&gt;5*D613,P613&gt;=5),"CRITICAL",OR(ABS(G613)&gt;2,P613&gt;=3,ABS(J613)&gt;3.5),"EARLY WARNING",ABS(G613)&gt;1,"WATCH",TRUE,"NORMAL")</f>
        <v/>
      </c>
    </row>
    <row r="614">
      <c r="A614" s="12" t="n">
        <v>45639</v>
      </c>
      <c r="B614" s="13">
        <f>Raw_Data!B614</f>
        <v/>
      </c>
      <c r="C614" s="13">
        <f>AVERAGE(B585:B614)</f>
        <v/>
      </c>
      <c r="D614" s="13">
        <f>STDEV.S(B585:B614)</f>
        <v/>
      </c>
      <c r="E614" s="13">
        <f>C614+3*D614</f>
        <v/>
      </c>
      <c r="F614" s="13">
        <f>C614-3*D614</f>
        <v/>
      </c>
      <c r="G614" s="15">
        <f>IF(D614=0,"",(B614-C614)/D614)</f>
        <v/>
      </c>
      <c r="H614" s="13">
        <f>MEDIAN(B585:B614)</f>
        <v/>
      </c>
      <c r="I614" s="13">
        <f>MEDIAN(ABS(B585:B614-H614))</f>
        <v/>
      </c>
      <c r="J614" s="15">
        <f>IF(I614=0,"",0.6745*(B614-H614)/I614)</f>
        <v/>
      </c>
      <c r="K614" s="13">
        <f>0.2*B614+0.8*K613</f>
        <v/>
      </c>
      <c r="L614" s="13">
        <f>C614+3*D614*SQRT(0.2/(2-0.2))</f>
        <v/>
      </c>
      <c r="M614" s="13">
        <f>C614-3*D614*SQRT(0.2/(2-0.2))</f>
        <v/>
      </c>
      <c r="N614" s="13">
        <f>MAX(0,N613+(B614-C614-0.5*D614))</f>
        <v/>
      </c>
      <c r="O614" s="13">
        <f>MIN(0,O613+(B614-C614+0.5*D614))</f>
        <v/>
      </c>
      <c r="P614">
        <f>IF(ABS(G614)&gt;1,P613+1,0)</f>
        <v/>
      </c>
      <c r="Q614">
        <f>IFS(OR(ABS(G614)&gt;3,N614&gt;5*D614,ABS(O614)&gt;5*D614,P614&gt;=5),"CRITICAL",OR(ABS(G614)&gt;2,P614&gt;=3,ABS(J614)&gt;3.5),"EARLY WARNING",ABS(G614)&gt;1,"WATCH",TRUE,"NORMAL")</f>
        <v/>
      </c>
    </row>
    <row r="615">
      <c r="A615" s="12" t="n">
        <v>45640</v>
      </c>
      <c r="B615" s="13">
        <f>Raw_Data!B615</f>
        <v/>
      </c>
      <c r="C615" s="13">
        <f>AVERAGE(B586:B615)</f>
        <v/>
      </c>
      <c r="D615" s="13">
        <f>STDEV.S(B586:B615)</f>
        <v/>
      </c>
      <c r="E615" s="13">
        <f>C615+3*D615</f>
        <v/>
      </c>
      <c r="F615" s="13">
        <f>C615-3*D615</f>
        <v/>
      </c>
      <c r="G615" s="15">
        <f>IF(D615=0,"",(B615-C615)/D615)</f>
        <v/>
      </c>
      <c r="H615" s="13">
        <f>MEDIAN(B586:B615)</f>
        <v/>
      </c>
      <c r="I615" s="13">
        <f>MEDIAN(ABS(B586:B615-H615))</f>
        <v/>
      </c>
      <c r="J615" s="15">
        <f>IF(I615=0,"",0.6745*(B615-H615)/I615)</f>
        <v/>
      </c>
      <c r="K615" s="13">
        <f>0.2*B615+0.8*K614</f>
        <v/>
      </c>
      <c r="L615" s="13">
        <f>C615+3*D615*SQRT(0.2/(2-0.2))</f>
        <v/>
      </c>
      <c r="M615" s="13">
        <f>C615-3*D615*SQRT(0.2/(2-0.2))</f>
        <v/>
      </c>
      <c r="N615" s="13">
        <f>MAX(0,N614+(B615-C615-0.5*D615))</f>
        <v/>
      </c>
      <c r="O615" s="13">
        <f>MIN(0,O614+(B615-C615+0.5*D615))</f>
        <v/>
      </c>
      <c r="P615">
        <f>IF(ABS(G615)&gt;1,P614+1,0)</f>
        <v/>
      </c>
      <c r="Q615">
        <f>IFS(OR(ABS(G615)&gt;3,N615&gt;5*D615,ABS(O615)&gt;5*D615,P615&gt;=5),"CRITICAL",OR(ABS(G615)&gt;2,P615&gt;=3,ABS(J615)&gt;3.5),"EARLY WARNING",ABS(G615)&gt;1,"WATCH",TRUE,"NORMAL")</f>
        <v/>
      </c>
    </row>
    <row r="616">
      <c r="A616" s="12" t="n">
        <v>45641</v>
      </c>
      <c r="B616" s="13">
        <f>Raw_Data!B616</f>
        <v/>
      </c>
      <c r="C616" s="13">
        <f>AVERAGE(B587:B616)</f>
        <v/>
      </c>
      <c r="D616" s="13">
        <f>STDEV.S(B587:B616)</f>
        <v/>
      </c>
      <c r="E616" s="13">
        <f>C616+3*D616</f>
        <v/>
      </c>
      <c r="F616" s="13">
        <f>C616-3*D616</f>
        <v/>
      </c>
      <c r="G616" s="15">
        <f>IF(D616=0,"",(B616-C616)/D616)</f>
        <v/>
      </c>
      <c r="H616" s="13">
        <f>MEDIAN(B587:B616)</f>
        <v/>
      </c>
      <c r="I616" s="13">
        <f>MEDIAN(ABS(B587:B616-H616))</f>
        <v/>
      </c>
      <c r="J616" s="15">
        <f>IF(I616=0,"",0.6745*(B616-H616)/I616)</f>
        <v/>
      </c>
      <c r="K616" s="13">
        <f>0.2*B616+0.8*K615</f>
        <v/>
      </c>
      <c r="L616" s="13">
        <f>C616+3*D616*SQRT(0.2/(2-0.2))</f>
        <v/>
      </c>
      <c r="M616" s="13">
        <f>C616-3*D616*SQRT(0.2/(2-0.2))</f>
        <v/>
      </c>
      <c r="N616" s="13">
        <f>MAX(0,N615+(B616-C616-0.5*D616))</f>
        <v/>
      </c>
      <c r="O616" s="13">
        <f>MIN(0,O615+(B616-C616+0.5*D616))</f>
        <v/>
      </c>
      <c r="P616">
        <f>IF(ABS(G616)&gt;1,P615+1,0)</f>
        <v/>
      </c>
      <c r="Q616">
        <f>IFS(OR(ABS(G616)&gt;3,N616&gt;5*D616,ABS(O616)&gt;5*D616,P616&gt;=5),"CRITICAL",OR(ABS(G616)&gt;2,P616&gt;=3,ABS(J616)&gt;3.5),"EARLY WARNING",ABS(G616)&gt;1,"WATCH",TRUE,"NORMAL")</f>
        <v/>
      </c>
    </row>
    <row r="617">
      <c r="A617" s="12" t="n">
        <v>45642</v>
      </c>
      <c r="B617" s="13">
        <f>Raw_Data!B617</f>
        <v/>
      </c>
      <c r="C617" s="13">
        <f>AVERAGE(B588:B617)</f>
        <v/>
      </c>
      <c r="D617" s="13">
        <f>STDEV.S(B588:B617)</f>
        <v/>
      </c>
      <c r="E617" s="13">
        <f>C617+3*D617</f>
        <v/>
      </c>
      <c r="F617" s="13">
        <f>C617-3*D617</f>
        <v/>
      </c>
      <c r="G617" s="15">
        <f>IF(D617=0,"",(B617-C617)/D617)</f>
        <v/>
      </c>
      <c r="H617" s="13">
        <f>MEDIAN(B588:B617)</f>
        <v/>
      </c>
      <c r="I617" s="13">
        <f>MEDIAN(ABS(B588:B617-H617))</f>
        <v/>
      </c>
      <c r="J617" s="15">
        <f>IF(I617=0,"",0.6745*(B617-H617)/I617)</f>
        <v/>
      </c>
      <c r="K617" s="13">
        <f>0.2*B617+0.8*K616</f>
        <v/>
      </c>
      <c r="L617" s="13">
        <f>C617+3*D617*SQRT(0.2/(2-0.2))</f>
        <v/>
      </c>
      <c r="M617" s="13">
        <f>C617-3*D617*SQRT(0.2/(2-0.2))</f>
        <v/>
      </c>
      <c r="N617" s="13">
        <f>MAX(0,N616+(B617-C617-0.5*D617))</f>
        <v/>
      </c>
      <c r="O617" s="13">
        <f>MIN(0,O616+(B617-C617+0.5*D617))</f>
        <v/>
      </c>
      <c r="P617">
        <f>IF(ABS(G617)&gt;1,P616+1,0)</f>
        <v/>
      </c>
      <c r="Q617">
        <f>IFS(OR(ABS(G617)&gt;3,N617&gt;5*D617,ABS(O617)&gt;5*D617,P617&gt;=5),"CRITICAL",OR(ABS(G617)&gt;2,P617&gt;=3,ABS(J617)&gt;3.5),"EARLY WARNING",ABS(G617)&gt;1,"WATCH",TRUE,"NORMAL")</f>
        <v/>
      </c>
    </row>
    <row r="618">
      <c r="A618" s="12" t="n">
        <v>45643</v>
      </c>
      <c r="B618" s="13">
        <f>Raw_Data!B618</f>
        <v/>
      </c>
      <c r="C618" s="13">
        <f>AVERAGE(B589:B618)</f>
        <v/>
      </c>
      <c r="D618" s="13">
        <f>STDEV.S(B589:B618)</f>
        <v/>
      </c>
      <c r="E618" s="13">
        <f>C618+3*D618</f>
        <v/>
      </c>
      <c r="F618" s="13">
        <f>C618-3*D618</f>
        <v/>
      </c>
      <c r="G618" s="15">
        <f>IF(D618=0,"",(B618-C618)/D618)</f>
        <v/>
      </c>
      <c r="H618" s="13">
        <f>MEDIAN(B589:B618)</f>
        <v/>
      </c>
      <c r="I618" s="13">
        <f>MEDIAN(ABS(B589:B618-H618))</f>
        <v/>
      </c>
      <c r="J618" s="15">
        <f>IF(I618=0,"",0.6745*(B618-H618)/I618)</f>
        <v/>
      </c>
      <c r="K618" s="13">
        <f>0.2*B618+0.8*K617</f>
        <v/>
      </c>
      <c r="L618" s="13">
        <f>C618+3*D618*SQRT(0.2/(2-0.2))</f>
        <v/>
      </c>
      <c r="M618" s="13">
        <f>C618-3*D618*SQRT(0.2/(2-0.2))</f>
        <v/>
      </c>
      <c r="N618" s="13">
        <f>MAX(0,N617+(B618-C618-0.5*D618))</f>
        <v/>
      </c>
      <c r="O618" s="13">
        <f>MIN(0,O617+(B618-C618+0.5*D618))</f>
        <v/>
      </c>
      <c r="P618">
        <f>IF(ABS(G618)&gt;1,P617+1,0)</f>
        <v/>
      </c>
      <c r="Q618">
        <f>IFS(OR(ABS(G618)&gt;3,N618&gt;5*D618,ABS(O618)&gt;5*D618,P618&gt;=5),"CRITICAL",OR(ABS(G618)&gt;2,P618&gt;=3,ABS(J618)&gt;3.5),"EARLY WARNING",ABS(G618)&gt;1,"WATCH",TRUE,"NORMAL")</f>
        <v/>
      </c>
    </row>
    <row r="619">
      <c r="A619" s="12" t="n">
        <v>45644</v>
      </c>
      <c r="B619" s="13">
        <f>Raw_Data!B619</f>
        <v/>
      </c>
      <c r="C619" s="13">
        <f>AVERAGE(B590:B619)</f>
        <v/>
      </c>
      <c r="D619" s="13">
        <f>STDEV.S(B590:B619)</f>
        <v/>
      </c>
      <c r="E619" s="13">
        <f>C619+3*D619</f>
        <v/>
      </c>
      <c r="F619" s="13">
        <f>C619-3*D619</f>
        <v/>
      </c>
      <c r="G619" s="15">
        <f>IF(D619=0,"",(B619-C619)/D619)</f>
        <v/>
      </c>
      <c r="H619" s="13">
        <f>MEDIAN(B590:B619)</f>
        <v/>
      </c>
      <c r="I619" s="13">
        <f>MEDIAN(ABS(B590:B619-H619))</f>
        <v/>
      </c>
      <c r="J619" s="15">
        <f>IF(I619=0,"",0.6745*(B619-H619)/I619)</f>
        <v/>
      </c>
      <c r="K619" s="13">
        <f>0.2*B619+0.8*K618</f>
        <v/>
      </c>
      <c r="L619" s="13">
        <f>C619+3*D619*SQRT(0.2/(2-0.2))</f>
        <v/>
      </c>
      <c r="M619" s="13">
        <f>C619-3*D619*SQRT(0.2/(2-0.2))</f>
        <v/>
      </c>
      <c r="N619" s="13">
        <f>MAX(0,N618+(B619-C619-0.5*D619))</f>
        <v/>
      </c>
      <c r="O619" s="13">
        <f>MIN(0,O618+(B619-C619+0.5*D619))</f>
        <v/>
      </c>
      <c r="P619">
        <f>IF(ABS(G619)&gt;1,P618+1,0)</f>
        <v/>
      </c>
      <c r="Q619">
        <f>IFS(OR(ABS(G619)&gt;3,N619&gt;5*D619,ABS(O619)&gt;5*D619,P619&gt;=5),"CRITICAL",OR(ABS(G619)&gt;2,P619&gt;=3,ABS(J619)&gt;3.5),"EARLY WARNING",ABS(G619)&gt;1,"WATCH",TRUE,"NORMAL")</f>
        <v/>
      </c>
    </row>
    <row r="620">
      <c r="A620" s="12" t="n">
        <v>45645</v>
      </c>
      <c r="B620" s="13">
        <f>Raw_Data!B620</f>
        <v/>
      </c>
      <c r="C620" s="13">
        <f>AVERAGE(B591:B620)</f>
        <v/>
      </c>
      <c r="D620" s="13">
        <f>STDEV.S(B591:B620)</f>
        <v/>
      </c>
      <c r="E620" s="13">
        <f>C620+3*D620</f>
        <v/>
      </c>
      <c r="F620" s="13">
        <f>C620-3*D620</f>
        <v/>
      </c>
      <c r="G620" s="15">
        <f>IF(D620=0,"",(B620-C620)/D620)</f>
        <v/>
      </c>
      <c r="H620" s="13">
        <f>MEDIAN(B591:B620)</f>
        <v/>
      </c>
      <c r="I620" s="13">
        <f>MEDIAN(ABS(B591:B620-H620))</f>
        <v/>
      </c>
      <c r="J620" s="15">
        <f>IF(I620=0,"",0.6745*(B620-H620)/I620)</f>
        <v/>
      </c>
      <c r="K620" s="13">
        <f>0.2*B620+0.8*K619</f>
        <v/>
      </c>
      <c r="L620" s="13">
        <f>C620+3*D620*SQRT(0.2/(2-0.2))</f>
        <v/>
      </c>
      <c r="M620" s="13">
        <f>C620-3*D620*SQRT(0.2/(2-0.2))</f>
        <v/>
      </c>
      <c r="N620" s="13">
        <f>MAX(0,N619+(B620-C620-0.5*D620))</f>
        <v/>
      </c>
      <c r="O620" s="13">
        <f>MIN(0,O619+(B620-C620+0.5*D620))</f>
        <v/>
      </c>
      <c r="P620">
        <f>IF(ABS(G620)&gt;1,P619+1,0)</f>
        <v/>
      </c>
      <c r="Q620">
        <f>IFS(OR(ABS(G620)&gt;3,N620&gt;5*D620,ABS(O620)&gt;5*D620,P620&gt;=5),"CRITICAL",OR(ABS(G620)&gt;2,P620&gt;=3,ABS(J620)&gt;3.5),"EARLY WARNING",ABS(G620)&gt;1,"WATCH",TRUE,"NORMAL")</f>
        <v/>
      </c>
    </row>
    <row r="621">
      <c r="A621" s="12" t="n">
        <v>45646</v>
      </c>
      <c r="B621" s="13">
        <f>Raw_Data!B621</f>
        <v/>
      </c>
      <c r="C621" s="13">
        <f>AVERAGE(B592:B621)</f>
        <v/>
      </c>
      <c r="D621" s="13">
        <f>STDEV.S(B592:B621)</f>
        <v/>
      </c>
      <c r="E621" s="13">
        <f>C621+3*D621</f>
        <v/>
      </c>
      <c r="F621" s="13">
        <f>C621-3*D621</f>
        <v/>
      </c>
      <c r="G621" s="15">
        <f>IF(D621=0,"",(B621-C621)/D621)</f>
        <v/>
      </c>
      <c r="H621" s="13">
        <f>MEDIAN(B592:B621)</f>
        <v/>
      </c>
      <c r="I621" s="13">
        <f>MEDIAN(ABS(B592:B621-H621))</f>
        <v/>
      </c>
      <c r="J621" s="15">
        <f>IF(I621=0,"",0.6745*(B621-H621)/I621)</f>
        <v/>
      </c>
      <c r="K621" s="13">
        <f>0.2*B621+0.8*K620</f>
        <v/>
      </c>
      <c r="L621" s="13">
        <f>C621+3*D621*SQRT(0.2/(2-0.2))</f>
        <v/>
      </c>
      <c r="M621" s="13">
        <f>C621-3*D621*SQRT(0.2/(2-0.2))</f>
        <v/>
      </c>
      <c r="N621" s="13">
        <f>MAX(0,N620+(B621-C621-0.5*D621))</f>
        <v/>
      </c>
      <c r="O621" s="13">
        <f>MIN(0,O620+(B621-C621+0.5*D621))</f>
        <v/>
      </c>
      <c r="P621">
        <f>IF(ABS(G621)&gt;1,P620+1,0)</f>
        <v/>
      </c>
      <c r="Q621">
        <f>IFS(OR(ABS(G621)&gt;3,N621&gt;5*D621,ABS(O621)&gt;5*D621,P621&gt;=5),"CRITICAL",OR(ABS(G621)&gt;2,P621&gt;=3,ABS(J621)&gt;3.5),"EARLY WARNING",ABS(G621)&gt;1,"WATCH",TRUE,"NORMAL")</f>
        <v/>
      </c>
    </row>
    <row r="622">
      <c r="A622" s="12" t="n">
        <v>45647</v>
      </c>
      <c r="B622" s="13">
        <f>Raw_Data!B622</f>
        <v/>
      </c>
      <c r="C622" s="13">
        <f>AVERAGE(B593:B622)</f>
        <v/>
      </c>
      <c r="D622" s="13">
        <f>STDEV.S(B593:B622)</f>
        <v/>
      </c>
      <c r="E622" s="13">
        <f>C622+3*D622</f>
        <v/>
      </c>
      <c r="F622" s="13">
        <f>C622-3*D622</f>
        <v/>
      </c>
      <c r="G622" s="15">
        <f>IF(D622=0,"",(B622-C622)/D622)</f>
        <v/>
      </c>
      <c r="H622" s="13">
        <f>MEDIAN(B593:B622)</f>
        <v/>
      </c>
      <c r="I622" s="13">
        <f>MEDIAN(ABS(B593:B622-H622))</f>
        <v/>
      </c>
      <c r="J622" s="15">
        <f>IF(I622=0,"",0.6745*(B622-H622)/I622)</f>
        <v/>
      </c>
      <c r="K622" s="13">
        <f>0.2*B622+0.8*K621</f>
        <v/>
      </c>
      <c r="L622" s="13">
        <f>C622+3*D622*SQRT(0.2/(2-0.2))</f>
        <v/>
      </c>
      <c r="M622" s="13">
        <f>C622-3*D622*SQRT(0.2/(2-0.2))</f>
        <v/>
      </c>
      <c r="N622" s="13">
        <f>MAX(0,N621+(B622-C622-0.5*D622))</f>
        <v/>
      </c>
      <c r="O622" s="13">
        <f>MIN(0,O621+(B622-C622+0.5*D622))</f>
        <v/>
      </c>
      <c r="P622">
        <f>IF(ABS(G622)&gt;1,P621+1,0)</f>
        <v/>
      </c>
      <c r="Q622">
        <f>IFS(OR(ABS(G622)&gt;3,N622&gt;5*D622,ABS(O622)&gt;5*D622,P622&gt;=5),"CRITICAL",OR(ABS(G622)&gt;2,P622&gt;=3,ABS(J622)&gt;3.5),"EARLY WARNING",ABS(G622)&gt;1,"WATCH",TRUE,"NORMAL")</f>
        <v/>
      </c>
    </row>
    <row r="623">
      <c r="A623" s="12" t="n">
        <v>45648</v>
      </c>
      <c r="B623" s="13">
        <f>Raw_Data!B623</f>
        <v/>
      </c>
      <c r="C623" s="13">
        <f>AVERAGE(B594:B623)</f>
        <v/>
      </c>
      <c r="D623" s="13">
        <f>STDEV.S(B594:B623)</f>
        <v/>
      </c>
      <c r="E623" s="13">
        <f>C623+3*D623</f>
        <v/>
      </c>
      <c r="F623" s="13">
        <f>C623-3*D623</f>
        <v/>
      </c>
      <c r="G623" s="15">
        <f>IF(D623=0,"",(B623-C623)/D623)</f>
        <v/>
      </c>
      <c r="H623" s="13">
        <f>MEDIAN(B594:B623)</f>
        <v/>
      </c>
      <c r="I623" s="13">
        <f>MEDIAN(ABS(B594:B623-H623))</f>
        <v/>
      </c>
      <c r="J623" s="15">
        <f>IF(I623=0,"",0.6745*(B623-H623)/I623)</f>
        <v/>
      </c>
      <c r="K623" s="13">
        <f>0.2*B623+0.8*K622</f>
        <v/>
      </c>
      <c r="L623" s="13">
        <f>C623+3*D623*SQRT(0.2/(2-0.2))</f>
        <v/>
      </c>
      <c r="M623" s="13">
        <f>C623-3*D623*SQRT(0.2/(2-0.2))</f>
        <v/>
      </c>
      <c r="N623" s="13">
        <f>MAX(0,N622+(B623-C623-0.5*D623))</f>
        <v/>
      </c>
      <c r="O623" s="13">
        <f>MIN(0,O622+(B623-C623+0.5*D623))</f>
        <v/>
      </c>
      <c r="P623">
        <f>IF(ABS(G623)&gt;1,P622+1,0)</f>
        <v/>
      </c>
      <c r="Q623">
        <f>IFS(OR(ABS(G623)&gt;3,N623&gt;5*D623,ABS(O623)&gt;5*D623,P623&gt;=5),"CRITICAL",OR(ABS(G623)&gt;2,P623&gt;=3,ABS(J623)&gt;3.5),"EARLY WARNING",ABS(G623)&gt;1,"WATCH",TRUE,"NORMAL")</f>
        <v/>
      </c>
    </row>
    <row r="624">
      <c r="A624" s="12" t="n">
        <v>45649</v>
      </c>
      <c r="B624" s="13">
        <f>Raw_Data!B624</f>
        <v/>
      </c>
      <c r="C624" s="13">
        <f>AVERAGE(B595:B624)</f>
        <v/>
      </c>
      <c r="D624" s="13">
        <f>STDEV.S(B595:B624)</f>
        <v/>
      </c>
      <c r="E624" s="13">
        <f>C624+3*D624</f>
        <v/>
      </c>
      <c r="F624" s="13">
        <f>C624-3*D624</f>
        <v/>
      </c>
      <c r="G624" s="15">
        <f>IF(D624=0,"",(B624-C624)/D624)</f>
        <v/>
      </c>
      <c r="H624" s="13">
        <f>MEDIAN(B595:B624)</f>
        <v/>
      </c>
      <c r="I624" s="13">
        <f>MEDIAN(ABS(B595:B624-H624))</f>
        <v/>
      </c>
      <c r="J624" s="15">
        <f>IF(I624=0,"",0.6745*(B624-H624)/I624)</f>
        <v/>
      </c>
      <c r="K624" s="13">
        <f>0.2*B624+0.8*K623</f>
        <v/>
      </c>
      <c r="L624" s="13">
        <f>C624+3*D624*SQRT(0.2/(2-0.2))</f>
        <v/>
      </c>
      <c r="M624" s="13">
        <f>C624-3*D624*SQRT(0.2/(2-0.2))</f>
        <v/>
      </c>
      <c r="N624" s="13">
        <f>MAX(0,N623+(B624-C624-0.5*D624))</f>
        <v/>
      </c>
      <c r="O624" s="13">
        <f>MIN(0,O623+(B624-C624+0.5*D624))</f>
        <v/>
      </c>
      <c r="P624">
        <f>IF(ABS(G624)&gt;1,P623+1,0)</f>
        <v/>
      </c>
      <c r="Q624">
        <f>IFS(OR(ABS(G624)&gt;3,N624&gt;5*D624,ABS(O624)&gt;5*D624,P624&gt;=5),"CRITICAL",OR(ABS(G624)&gt;2,P624&gt;=3,ABS(J624)&gt;3.5),"EARLY WARNING",ABS(G624)&gt;1,"WATCH",TRUE,"NORMAL")</f>
        <v/>
      </c>
    </row>
    <row r="625">
      <c r="A625" s="12" t="n">
        <v>45650</v>
      </c>
      <c r="B625" s="13">
        <f>Raw_Data!B625</f>
        <v/>
      </c>
      <c r="C625" s="13">
        <f>AVERAGE(B596:B625)</f>
        <v/>
      </c>
      <c r="D625" s="13">
        <f>STDEV.S(B596:B625)</f>
        <v/>
      </c>
      <c r="E625" s="13">
        <f>C625+3*D625</f>
        <v/>
      </c>
      <c r="F625" s="13">
        <f>C625-3*D625</f>
        <v/>
      </c>
      <c r="G625" s="15">
        <f>IF(D625=0,"",(B625-C625)/D625)</f>
        <v/>
      </c>
      <c r="H625" s="13">
        <f>MEDIAN(B596:B625)</f>
        <v/>
      </c>
      <c r="I625" s="13">
        <f>MEDIAN(ABS(B596:B625-H625))</f>
        <v/>
      </c>
      <c r="J625" s="15">
        <f>IF(I625=0,"",0.6745*(B625-H625)/I625)</f>
        <v/>
      </c>
      <c r="K625" s="13">
        <f>0.2*B625+0.8*K624</f>
        <v/>
      </c>
      <c r="L625" s="13">
        <f>C625+3*D625*SQRT(0.2/(2-0.2))</f>
        <v/>
      </c>
      <c r="M625" s="13">
        <f>C625-3*D625*SQRT(0.2/(2-0.2))</f>
        <v/>
      </c>
      <c r="N625" s="13">
        <f>MAX(0,N624+(B625-C625-0.5*D625))</f>
        <v/>
      </c>
      <c r="O625" s="13">
        <f>MIN(0,O624+(B625-C625+0.5*D625))</f>
        <v/>
      </c>
      <c r="P625">
        <f>IF(ABS(G625)&gt;1,P624+1,0)</f>
        <v/>
      </c>
      <c r="Q625">
        <f>IFS(OR(ABS(G625)&gt;3,N625&gt;5*D625,ABS(O625)&gt;5*D625,P625&gt;=5),"CRITICAL",OR(ABS(G625)&gt;2,P625&gt;=3,ABS(J625)&gt;3.5),"EARLY WARNING",ABS(G625)&gt;1,"WATCH",TRUE,"NORMAL")</f>
        <v/>
      </c>
    </row>
    <row r="626">
      <c r="A626" s="12" t="n">
        <v>45651</v>
      </c>
      <c r="B626" s="13">
        <f>Raw_Data!B626</f>
        <v/>
      </c>
      <c r="C626" s="13">
        <f>AVERAGE(B597:B626)</f>
        <v/>
      </c>
      <c r="D626" s="13">
        <f>STDEV.S(B597:B626)</f>
        <v/>
      </c>
      <c r="E626" s="13">
        <f>C626+3*D626</f>
        <v/>
      </c>
      <c r="F626" s="13">
        <f>C626-3*D626</f>
        <v/>
      </c>
      <c r="G626" s="15">
        <f>IF(D626=0,"",(B626-C626)/D626)</f>
        <v/>
      </c>
      <c r="H626" s="13">
        <f>MEDIAN(B597:B626)</f>
        <v/>
      </c>
      <c r="I626" s="13">
        <f>MEDIAN(ABS(B597:B626-H626))</f>
        <v/>
      </c>
      <c r="J626" s="15">
        <f>IF(I626=0,"",0.6745*(B626-H626)/I626)</f>
        <v/>
      </c>
      <c r="K626" s="13">
        <f>0.2*B626+0.8*K625</f>
        <v/>
      </c>
      <c r="L626" s="13">
        <f>C626+3*D626*SQRT(0.2/(2-0.2))</f>
        <v/>
      </c>
      <c r="M626" s="13">
        <f>C626-3*D626*SQRT(0.2/(2-0.2))</f>
        <v/>
      </c>
      <c r="N626" s="13">
        <f>MAX(0,N625+(B626-C626-0.5*D626))</f>
        <v/>
      </c>
      <c r="O626" s="13">
        <f>MIN(0,O625+(B626-C626+0.5*D626))</f>
        <v/>
      </c>
      <c r="P626">
        <f>IF(ABS(G626)&gt;1,P625+1,0)</f>
        <v/>
      </c>
      <c r="Q626">
        <f>IFS(OR(ABS(G626)&gt;3,N626&gt;5*D626,ABS(O626)&gt;5*D626,P626&gt;=5),"CRITICAL",OR(ABS(G626)&gt;2,P626&gt;=3,ABS(J626)&gt;3.5),"EARLY WARNING",ABS(G626)&gt;1,"WATCH",TRUE,"NORMAL")</f>
        <v/>
      </c>
    </row>
    <row r="627">
      <c r="A627" s="12" t="n">
        <v>45652</v>
      </c>
      <c r="B627" s="13">
        <f>Raw_Data!B627</f>
        <v/>
      </c>
      <c r="C627" s="13">
        <f>AVERAGE(B598:B627)</f>
        <v/>
      </c>
      <c r="D627" s="13">
        <f>STDEV.S(B598:B627)</f>
        <v/>
      </c>
      <c r="E627" s="13">
        <f>C627+3*D627</f>
        <v/>
      </c>
      <c r="F627" s="13">
        <f>C627-3*D627</f>
        <v/>
      </c>
      <c r="G627" s="15">
        <f>IF(D627=0,"",(B627-C627)/D627)</f>
        <v/>
      </c>
      <c r="H627" s="13">
        <f>MEDIAN(B598:B627)</f>
        <v/>
      </c>
      <c r="I627" s="13">
        <f>MEDIAN(ABS(B598:B627-H627))</f>
        <v/>
      </c>
      <c r="J627" s="15">
        <f>IF(I627=0,"",0.6745*(B627-H627)/I627)</f>
        <v/>
      </c>
      <c r="K627" s="13">
        <f>0.2*B627+0.8*K626</f>
        <v/>
      </c>
      <c r="L627" s="13">
        <f>C627+3*D627*SQRT(0.2/(2-0.2))</f>
        <v/>
      </c>
      <c r="M627" s="13">
        <f>C627-3*D627*SQRT(0.2/(2-0.2))</f>
        <v/>
      </c>
      <c r="N627" s="13">
        <f>MAX(0,N626+(B627-C627-0.5*D627))</f>
        <v/>
      </c>
      <c r="O627" s="13">
        <f>MIN(0,O626+(B627-C627+0.5*D627))</f>
        <v/>
      </c>
      <c r="P627">
        <f>IF(ABS(G627)&gt;1,P626+1,0)</f>
        <v/>
      </c>
      <c r="Q627">
        <f>IFS(OR(ABS(G627)&gt;3,N627&gt;5*D627,ABS(O627)&gt;5*D627,P627&gt;=5),"CRITICAL",OR(ABS(G627)&gt;2,P627&gt;=3,ABS(J627)&gt;3.5),"EARLY WARNING",ABS(G627)&gt;1,"WATCH",TRUE,"NORMAL")</f>
        <v/>
      </c>
    </row>
    <row r="628">
      <c r="A628" s="12" t="n">
        <v>45653</v>
      </c>
      <c r="B628" s="13">
        <f>Raw_Data!B628</f>
        <v/>
      </c>
      <c r="C628" s="13">
        <f>AVERAGE(B599:B628)</f>
        <v/>
      </c>
      <c r="D628" s="13">
        <f>STDEV.S(B599:B628)</f>
        <v/>
      </c>
      <c r="E628" s="13">
        <f>C628+3*D628</f>
        <v/>
      </c>
      <c r="F628" s="13">
        <f>C628-3*D628</f>
        <v/>
      </c>
      <c r="G628" s="15">
        <f>IF(D628=0,"",(B628-C628)/D628)</f>
        <v/>
      </c>
      <c r="H628" s="13">
        <f>MEDIAN(B599:B628)</f>
        <v/>
      </c>
      <c r="I628" s="13">
        <f>MEDIAN(ABS(B599:B628-H628))</f>
        <v/>
      </c>
      <c r="J628" s="15">
        <f>IF(I628=0,"",0.6745*(B628-H628)/I628)</f>
        <v/>
      </c>
      <c r="K628" s="13">
        <f>0.2*B628+0.8*K627</f>
        <v/>
      </c>
      <c r="L628" s="13">
        <f>C628+3*D628*SQRT(0.2/(2-0.2))</f>
        <v/>
      </c>
      <c r="M628" s="13">
        <f>C628-3*D628*SQRT(0.2/(2-0.2))</f>
        <v/>
      </c>
      <c r="N628" s="13">
        <f>MAX(0,N627+(B628-C628-0.5*D628))</f>
        <v/>
      </c>
      <c r="O628" s="13">
        <f>MIN(0,O627+(B628-C628+0.5*D628))</f>
        <v/>
      </c>
      <c r="P628">
        <f>IF(ABS(G628)&gt;1,P627+1,0)</f>
        <v/>
      </c>
      <c r="Q628">
        <f>IFS(OR(ABS(G628)&gt;3,N628&gt;5*D628,ABS(O628)&gt;5*D628,P628&gt;=5),"CRITICAL",OR(ABS(G628)&gt;2,P628&gt;=3,ABS(J628)&gt;3.5),"EARLY WARNING",ABS(G628)&gt;1,"WATCH",TRUE,"NORMAL")</f>
        <v/>
      </c>
    </row>
    <row r="629">
      <c r="A629" s="12" t="n">
        <v>45654</v>
      </c>
      <c r="B629" s="13">
        <f>Raw_Data!B629</f>
        <v/>
      </c>
      <c r="C629" s="13">
        <f>AVERAGE(B600:B629)</f>
        <v/>
      </c>
      <c r="D629" s="13">
        <f>STDEV.S(B600:B629)</f>
        <v/>
      </c>
      <c r="E629" s="13">
        <f>C629+3*D629</f>
        <v/>
      </c>
      <c r="F629" s="13">
        <f>C629-3*D629</f>
        <v/>
      </c>
      <c r="G629" s="15">
        <f>IF(D629=0,"",(B629-C629)/D629)</f>
        <v/>
      </c>
      <c r="H629" s="13">
        <f>MEDIAN(B600:B629)</f>
        <v/>
      </c>
      <c r="I629" s="13">
        <f>MEDIAN(ABS(B600:B629-H629))</f>
        <v/>
      </c>
      <c r="J629" s="15">
        <f>IF(I629=0,"",0.6745*(B629-H629)/I629)</f>
        <v/>
      </c>
      <c r="K629" s="13">
        <f>0.2*B629+0.8*K628</f>
        <v/>
      </c>
      <c r="L629" s="13">
        <f>C629+3*D629*SQRT(0.2/(2-0.2))</f>
        <v/>
      </c>
      <c r="M629" s="13">
        <f>C629-3*D629*SQRT(0.2/(2-0.2))</f>
        <v/>
      </c>
      <c r="N629" s="13">
        <f>MAX(0,N628+(B629-C629-0.5*D629))</f>
        <v/>
      </c>
      <c r="O629" s="13">
        <f>MIN(0,O628+(B629-C629+0.5*D629))</f>
        <v/>
      </c>
      <c r="P629">
        <f>IF(ABS(G629)&gt;1,P628+1,0)</f>
        <v/>
      </c>
      <c r="Q629">
        <f>IFS(OR(ABS(G629)&gt;3,N629&gt;5*D629,ABS(O629)&gt;5*D629,P629&gt;=5),"CRITICAL",OR(ABS(G629)&gt;2,P629&gt;=3,ABS(J629)&gt;3.5),"EARLY WARNING",ABS(G629)&gt;1,"WATCH",TRUE,"NORMAL")</f>
        <v/>
      </c>
    </row>
    <row r="630">
      <c r="A630" s="12" t="n">
        <v>45655</v>
      </c>
      <c r="B630" s="13">
        <f>Raw_Data!B630</f>
        <v/>
      </c>
      <c r="C630" s="13">
        <f>AVERAGE(B601:B630)</f>
        <v/>
      </c>
      <c r="D630" s="13">
        <f>STDEV.S(B601:B630)</f>
        <v/>
      </c>
      <c r="E630" s="13">
        <f>C630+3*D630</f>
        <v/>
      </c>
      <c r="F630" s="13">
        <f>C630-3*D630</f>
        <v/>
      </c>
      <c r="G630" s="15">
        <f>IF(D630=0,"",(B630-C630)/D630)</f>
        <v/>
      </c>
      <c r="H630" s="13">
        <f>MEDIAN(B601:B630)</f>
        <v/>
      </c>
      <c r="I630" s="13">
        <f>MEDIAN(ABS(B601:B630-H630))</f>
        <v/>
      </c>
      <c r="J630" s="15">
        <f>IF(I630=0,"",0.6745*(B630-H630)/I630)</f>
        <v/>
      </c>
      <c r="K630" s="13">
        <f>0.2*B630+0.8*K629</f>
        <v/>
      </c>
      <c r="L630" s="13">
        <f>C630+3*D630*SQRT(0.2/(2-0.2))</f>
        <v/>
      </c>
      <c r="M630" s="13">
        <f>C630-3*D630*SQRT(0.2/(2-0.2))</f>
        <v/>
      </c>
      <c r="N630" s="13">
        <f>MAX(0,N629+(B630-C630-0.5*D630))</f>
        <v/>
      </c>
      <c r="O630" s="13">
        <f>MIN(0,O629+(B630-C630+0.5*D630))</f>
        <v/>
      </c>
      <c r="P630">
        <f>IF(ABS(G630)&gt;1,P629+1,0)</f>
        <v/>
      </c>
      <c r="Q630">
        <f>IFS(OR(ABS(G630)&gt;3,N630&gt;5*D630,ABS(O630)&gt;5*D630,P630&gt;=5),"CRITICAL",OR(ABS(G630)&gt;2,P630&gt;=3,ABS(J630)&gt;3.5),"EARLY WARNING",ABS(G630)&gt;1,"WATCH",TRUE,"NORMAL")</f>
        <v/>
      </c>
    </row>
    <row r="631">
      <c r="A631" s="12" t="n">
        <v>45656</v>
      </c>
      <c r="B631" s="13">
        <f>Raw_Data!B631</f>
        <v/>
      </c>
      <c r="C631" s="13">
        <f>AVERAGE(B602:B631)</f>
        <v/>
      </c>
      <c r="D631" s="13">
        <f>STDEV.S(B602:B631)</f>
        <v/>
      </c>
      <c r="E631" s="13">
        <f>C631+3*D631</f>
        <v/>
      </c>
      <c r="F631" s="13">
        <f>C631-3*D631</f>
        <v/>
      </c>
      <c r="G631" s="15">
        <f>IF(D631=0,"",(B631-C631)/D631)</f>
        <v/>
      </c>
      <c r="H631" s="13">
        <f>MEDIAN(B602:B631)</f>
        <v/>
      </c>
      <c r="I631" s="13">
        <f>MEDIAN(ABS(B602:B631-H631))</f>
        <v/>
      </c>
      <c r="J631" s="15">
        <f>IF(I631=0,"",0.6745*(B631-H631)/I631)</f>
        <v/>
      </c>
      <c r="K631" s="13">
        <f>0.2*B631+0.8*K630</f>
        <v/>
      </c>
      <c r="L631" s="13">
        <f>C631+3*D631*SQRT(0.2/(2-0.2))</f>
        <v/>
      </c>
      <c r="M631" s="13">
        <f>C631-3*D631*SQRT(0.2/(2-0.2))</f>
        <v/>
      </c>
      <c r="N631" s="13">
        <f>MAX(0,N630+(B631-C631-0.5*D631))</f>
        <v/>
      </c>
      <c r="O631" s="13">
        <f>MIN(0,O630+(B631-C631+0.5*D631))</f>
        <v/>
      </c>
      <c r="P631">
        <f>IF(ABS(G631)&gt;1,P630+1,0)</f>
        <v/>
      </c>
      <c r="Q631">
        <f>IFS(OR(ABS(G631)&gt;3,N631&gt;5*D631,ABS(O631)&gt;5*D631,P631&gt;=5),"CRITICAL",OR(ABS(G631)&gt;2,P631&gt;=3,ABS(J631)&gt;3.5),"EARLY WARNING",ABS(G631)&gt;1,"WATCH",TRUE,"NORMAL")</f>
        <v/>
      </c>
    </row>
    <row r="632">
      <c r="A632" s="12" t="n">
        <v>45657</v>
      </c>
      <c r="B632" s="13">
        <f>Raw_Data!B632</f>
        <v/>
      </c>
      <c r="C632" s="13">
        <f>AVERAGE(B603:B632)</f>
        <v/>
      </c>
      <c r="D632" s="13">
        <f>STDEV.S(B603:B632)</f>
        <v/>
      </c>
      <c r="E632" s="13">
        <f>C632+3*D632</f>
        <v/>
      </c>
      <c r="F632" s="13">
        <f>C632-3*D632</f>
        <v/>
      </c>
      <c r="G632" s="15">
        <f>IF(D632=0,"",(B632-C632)/D632)</f>
        <v/>
      </c>
      <c r="H632" s="13">
        <f>MEDIAN(B603:B632)</f>
        <v/>
      </c>
      <c r="I632" s="13">
        <f>MEDIAN(ABS(B603:B632-H632))</f>
        <v/>
      </c>
      <c r="J632" s="15">
        <f>IF(I632=0,"",0.6745*(B632-H632)/I632)</f>
        <v/>
      </c>
      <c r="K632" s="13">
        <f>0.2*B632+0.8*K631</f>
        <v/>
      </c>
      <c r="L632" s="13">
        <f>C632+3*D632*SQRT(0.2/(2-0.2))</f>
        <v/>
      </c>
      <c r="M632" s="13">
        <f>C632-3*D632*SQRT(0.2/(2-0.2))</f>
        <v/>
      </c>
      <c r="N632" s="13">
        <f>MAX(0,N631+(B632-C632-0.5*D632))</f>
        <v/>
      </c>
      <c r="O632" s="13">
        <f>MIN(0,O631+(B632-C632+0.5*D632))</f>
        <v/>
      </c>
      <c r="P632">
        <f>IF(ABS(G632)&gt;1,P631+1,0)</f>
        <v/>
      </c>
      <c r="Q632">
        <f>IFS(OR(ABS(G632)&gt;3,N632&gt;5*D632,ABS(O632)&gt;5*D632,P632&gt;=5),"CRITICAL",OR(ABS(G632)&gt;2,P632&gt;=3,ABS(J632)&gt;3.5),"EARLY WARNING",ABS(G632)&gt;1,"WATCH",TRUE,"NORMAL")</f>
        <v/>
      </c>
    </row>
    <row r="633">
      <c r="A633" s="12" t="n">
        <v>45658</v>
      </c>
      <c r="B633" s="13">
        <f>Raw_Data!B633</f>
        <v/>
      </c>
      <c r="C633" s="13">
        <f>AVERAGE(B604:B633)</f>
        <v/>
      </c>
      <c r="D633" s="13">
        <f>STDEV.S(B604:B633)</f>
        <v/>
      </c>
      <c r="E633" s="13">
        <f>C633+3*D633</f>
        <v/>
      </c>
      <c r="F633" s="13">
        <f>C633-3*D633</f>
        <v/>
      </c>
      <c r="G633" s="15">
        <f>IF(D633=0,"",(B633-C633)/D633)</f>
        <v/>
      </c>
      <c r="H633" s="13">
        <f>MEDIAN(B604:B633)</f>
        <v/>
      </c>
      <c r="I633" s="13">
        <f>MEDIAN(ABS(B604:B633-H633))</f>
        <v/>
      </c>
      <c r="J633" s="15">
        <f>IF(I633=0,"",0.6745*(B633-H633)/I633)</f>
        <v/>
      </c>
      <c r="K633" s="13">
        <f>0.2*B633+0.8*K632</f>
        <v/>
      </c>
      <c r="L633" s="13">
        <f>C633+3*D633*SQRT(0.2/(2-0.2))</f>
        <v/>
      </c>
      <c r="M633" s="13">
        <f>C633-3*D633*SQRT(0.2/(2-0.2))</f>
        <v/>
      </c>
      <c r="N633" s="13">
        <f>MAX(0,N632+(B633-C633-0.5*D633))</f>
        <v/>
      </c>
      <c r="O633" s="13">
        <f>MIN(0,O632+(B633-C633+0.5*D633))</f>
        <v/>
      </c>
      <c r="P633">
        <f>IF(ABS(G633)&gt;1,P632+1,0)</f>
        <v/>
      </c>
      <c r="Q633">
        <f>IFS(OR(ABS(G633)&gt;3,N633&gt;5*D633,ABS(O633)&gt;5*D633,P633&gt;=5),"CRITICAL",OR(ABS(G633)&gt;2,P633&gt;=3,ABS(J633)&gt;3.5),"EARLY WARNING",ABS(G633)&gt;1,"WATCH",TRUE,"NORMAL")</f>
        <v/>
      </c>
    </row>
    <row r="634">
      <c r="A634" s="12" t="n">
        <v>45659</v>
      </c>
      <c r="B634" s="13">
        <f>Raw_Data!B634</f>
        <v/>
      </c>
      <c r="C634" s="13">
        <f>AVERAGE(B605:B634)</f>
        <v/>
      </c>
      <c r="D634" s="13">
        <f>STDEV.S(B605:B634)</f>
        <v/>
      </c>
      <c r="E634" s="13">
        <f>C634+3*D634</f>
        <v/>
      </c>
      <c r="F634" s="13">
        <f>C634-3*D634</f>
        <v/>
      </c>
      <c r="G634" s="15">
        <f>IF(D634=0,"",(B634-C634)/D634)</f>
        <v/>
      </c>
      <c r="H634" s="13">
        <f>MEDIAN(B605:B634)</f>
        <v/>
      </c>
      <c r="I634" s="13">
        <f>MEDIAN(ABS(B605:B634-H634))</f>
        <v/>
      </c>
      <c r="J634" s="15">
        <f>IF(I634=0,"",0.6745*(B634-H634)/I634)</f>
        <v/>
      </c>
      <c r="K634" s="13">
        <f>0.2*B634+0.8*K633</f>
        <v/>
      </c>
      <c r="L634" s="13">
        <f>C634+3*D634*SQRT(0.2/(2-0.2))</f>
        <v/>
      </c>
      <c r="M634" s="13">
        <f>C634-3*D634*SQRT(0.2/(2-0.2))</f>
        <v/>
      </c>
      <c r="N634" s="13">
        <f>MAX(0,N633+(B634-C634-0.5*D634))</f>
        <v/>
      </c>
      <c r="O634" s="13">
        <f>MIN(0,O633+(B634-C634+0.5*D634))</f>
        <v/>
      </c>
      <c r="P634">
        <f>IF(ABS(G634)&gt;1,P633+1,0)</f>
        <v/>
      </c>
      <c r="Q634">
        <f>IFS(OR(ABS(G634)&gt;3,N634&gt;5*D634,ABS(O634)&gt;5*D634,P634&gt;=5),"CRITICAL",OR(ABS(G634)&gt;2,P634&gt;=3,ABS(J634)&gt;3.5),"EARLY WARNING",ABS(G634)&gt;1,"WATCH",TRUE,"NORMAL")</f>
        <v/>
      </c>
    </row>
    <row r="635">
      <c r="A635" s="12" t="n">
        <v>45660</v>
      </c>
      <c r="B635" s="13">
        <f>Raw_Data!B635</f>
        <v/>
      </c>
      <c r="C635" s="13">
        <f>AVERAGE(B606:B635)</f>
        <v/>
      </c>
      <c r="D635" s="13">
        <f>STDEV.S(B606:B635)</f>
        <v/>
      </c>
      <c r="E635" s="13">
        <f>C635+3*D635</f>
        <v/>
      </c>
      <c r="F635" s="13">
        <f>C635-3*D635</f>
        <v/>
      </c>
      <c r="G635" s="15">
        <f>IF(D635=0,"",(B635-C635)/D635)</f>
        <v/>
      </c>
      <c r="H635" s="13">
        <f>MEDIAN(B606:B635)</f>
        <v/>
      </c>
      <c r="I635" s="13">
        <f>MEDIAN(ABS(B606:B635-H635))</f>
        <v/>
      </c>
      <c r="J635" s="15">
        <f>IF(I635=0,"",0.6745*(B635-H635)/I635)</f>
        <v/>
      </c>
      <c r="K635" s="13">
        <f>0.2*B635+0.8*K634</f>
        <v/>
      </c>
      <c r="L635" s="13">
        <f>C635+3*D635*SQRT(0.2/(2-0.2))</f>
        <v/>
      </c>
      <c r="M635" s="13">
        <f>C635-3*D635*SQRT(0.2/(2-0.2))</f>
        <v/>
      </c>
      <c r="N635" s="13">
        <f>MAX(0,N634+(B635-C635-0.5*D635))</f>
        <v/>
      </c>
      <c r="O635" s="13">
        <f>MIN(0,O634+(B635-C635+0.5*D635))</f>
        <v/>
      </c>
      <c r="P635">
        <f>IF(ABS(G635)&gt;1,P634+1,0)</f>
        <v/>
      </c>
      <c r="Q635">
        <f>IFS(OR(ABS(G635)&gt;3,N635&gt;5*D635,ABS(O635)&gt;5*D635,P635&gt;=5),"CRITICAL",OR(ABS(G635)&gt;2,P635&gt;=3,ABS(J635)&gt;3.5),"EARLY WARNING",ABS(G635)&gt;1,"WATCH",TRUE,"NORMAL")</f>
        <v/>
      </c>
    </row>
    <row r="636">
      <c r="A636" s="12" t="n">
        <v>45661</v>
      </c>
      <c r="B636" s="13">
        <f>Raw_Data!B636</f>
        <v/>
      </c>
      <c r="C636" s="13">
        <f>AVERAGE(B607:B636)</f>
        <v/>
      </c>
      <c r="D636" s="13">
        <f>STDEV.S(B607:B636)</f>
        <v/>
      </c>
      <c r="E636" s="13">
        <f>C636+3*D636</f>
        <v/>
      </c>
      <c r="F636" s="13">
        <f>C636-3*D636</f>
        <v/>
      </c>
      <c r="G636" s="15">
        <f>IF(D636=0,"",(B636-C636)/D636)</f>
        <v/>
      </c>
      <c r="H636" s="13">
        <f>MEDIAN(B607:B636)</f>
        <v/>
      </c>
      <c r="I636" s="13">
        <f>MEDIAN(ABS(B607:B636-H636))</f>
        <v/>
      </c>
      <c r="J636" s="15">
        <f>IF(I636=0,"",0.6745*(B636-H636)/I636)</f>
        <v/>
      </c>
      <c r="K636" s="13">
        <f>0.2*B636+0.8*K635</f>
        <v/>
      </c>
      <c r="L636" s="13">
        <f>C636+3*D636*SQRT(0.2/(2-0.2))</f>
        <v/>
      </c>
      <c r="M636" s="13">
        <f>C636-3*D636*SQRT(0.2/(2-0.2))</f>
        <v/>
      </c>
      <c r="N636" s="13">
        <f>MAX(0,N635+(B636-C636-0.5*D636))</f>
        <v/>
      </c>
      <c r="O636" s="13">
        <f>MIN(0,O635+(B636-C636+0.5*D636))</f>
        <v/>
      </c>
      <c r="P636">
        <f>IF(ABS(G636)&gt;1,P635+1,0)</f>
        <v/>
      </c>
      <c r="Q636">
        <f>IFS(OR(ABS(G636)&gt;3,N636&gt;5*D636,ABS(O636)&gt;5*D636,P636&gt;=5),"CRITICAL",OR(ABS(G636)&gt;2,P636&gt;=3,ABS(J636)&gt;3.5),"EARLY WARNING",ABS(G636)&gt;1,"WATCH",TRUE,"NORMAL")</f>
        <v/>
      </c>
    </row>
    <row r="637">
      <c r="A637" s="12" t="n">
        <v>45662</v>
      </c>
      <c r="B637" s="13">
        <f>Raw_Data!B637</f>
        <v/>
      </c>
      <c r="C637" s="13">
        <f>AVERAGE(B608:B637)</f>
        <v/>
      </c>
      <c r="D637" s="13">
        <f>STDEV.S(B608:B637)</f>
        <v/>
      </c>
      <c r="E637" s="13">
        <f>C637+3*D637</f>
        <v/>
      </c>
      <c r="F637" s="13">
        <f>C637-3*D637</f>
        <v/>
      </c>
      <c r="G637" s="15">
        <f>IF(D637=0,"",(B637-C637)/D637)</f>
        <v/>
      </c>
      <c r="H637" s="13">
        <f>MEDIAN(B608:B637)</f>
        <v/>
      </c>
      <c r="I637" s="13">
        <f>MEDIAN(ABS(B608:B637-H637))</f>
        <v/>
      </c>
      <c r="J637" s="15">
        <f>IF(I637=0,"",0.6745*(B637-H637)/I637)</f>
        <v/>
      </c>
      <c r="K637" s="13">
        <f>0.2*B637+0.8*K636</f>
        <v/>
      </c>
      <c r="L637" s="13">
        <f>C637+3*D637*SQRT(0.2/(2-0.2))</f>
        <v/>
      </c>
      <c r="M637" s="13">
        <f>C637-3*D637*SQRT(0.2/(2-0.2))</f>
        <v/>
      </c>
      <c r="N637" s="13">
        <f>MAX(0,N636+(B637-C637-0.5*D637))</f>
        <v/>
      </c>
      <c r="O637" s="13">
        <f>MIN(0,O636+(B637-C637+0.5*D637))</f>
        <v/>
      </c>
      <c r="P637">
        <f>IF(ABS(G637)&gt;1,P636+1,0)</f>
        <v/>
      </c>
      <c r="Q637">
        <f>IFS(OR(ABS(G637)&gt;3,N637&gt;5*D637,ABS(O637)&gt;5*D637,P637&gt;=5),"CRITICAL",OR(ABS(G637)&gt;2,P637&gt;=3,ABS(J637)&gt;3.5),"EARLY WARNING",ABS(G637)&gt;1,"WATCH",TRUE,"NORMAL")</f>
        <v/>
      </c>
    </row>
    <row r="638">
      <c r="A638" s="12" t="n">
        <v>45663</v>
      </c>
      <c r="B638" s="13">
        <f>Raw_Data!B638</f>
        <v/>
      </c>
      <c r="C638" s="13">
        <f>AVERAGE(B609:B638)</f>
        <v/>
      </c>
      <c r="D638" s="13">
        <f>STDEV.S(B609:B638)</f>
        <v/>
      </c>
      <c r="E638" s="13">
        <f>C638+3*D638</f>
        <v/>
      </c>
      <c r="F638" s="13">
        <f>C638-3*D638</f>
        <v/>
      </c>
      <c r="G638" s="15">
        <f>IF(D638=0,"",(B638-C638)/D638)</f>
        <v/>
      </c>
      <c r="H638" s="13">
        <f>MEDIAN(B609:B638)</f>
        <v/>
      </c>
      <c r="I638" s="13">
        <f>MEDIAN(ABS(B609:B638-H638))</f>
        <v/>
      </c>
      <c r="J638" s="15">
        <f>IF(I638=0,"",0.6745*(B638-H638)/I638)</f>
        <v/>
      </c>
      <c r="K638" s="13">
        <f>0.2*B638+0.8*K637</f>
        <v/>
      </c>
      <c r="L638" s="13">
        <f>C638+3*D638*SQRT(0.2/(2-0.2))</f>
        <v/>
      </c>
      <c r="M638" s="13">
        <f>C638-3*D638*SQRT(0.2/(2-0.2))</f>
        <v/>
      </c>
      <c r="N638" s="13">
        <f>MAX(0,N637+(B638-C638-0.5*D638))</f>
        <v/>
      </c>
      <c r="O638" s="13">
        <f>MIN(0,O637+(B638-C638+0.5*D638))</f>
        <v/>
      </c>
      <c r="P638">
        <f>IF(ABS(G638)&gt;1,P637+1,0)</f>
        <v/>
      </c>
      <c r="Q638">
        <f>IFS(OR(ABS(G638)&gt;3,N638&gt;5*D638,ABS(O638)&gt;5*D638,P638&gt;=5),"CRITICAL",OR(ABS(G638)&gt;2,P638&gt;=3,ABS(J638)&gt;3.5),"EARLY WARNING",ABS(G638)&gt;1,"WATCH",TRUE,"NORMAL")</f>
        <v/>
      </c>
    </row>
    <row r="639">
      <c r="A639" s="12" t="n">
        <v>45664</v>
      </c>
      <c r="B639" s="13">
        <f>Raw_Data!B639</f>
        <v/>
      </c>
      <c r="C639" s="13">
        <f>AVERAGE(B610:B639)</f>
        <v/>
      </c>
      <c r="D639" s="13">
        <f>STDEV.S(B610:B639)</f>
        <v/>
      </c>
      <c r="E639" s="13">
        <f>C639+3*D639</f>
        <v/>
      </c>
      <c r="F639" s="13">
        <f>C639-3*D639</f>
        <v/>
      </c>
      <c r="G639" s="15">
        <f>IF(D639=0,"",(B639-C639)/D639)</f>
        <v/>
      </c>
      <c r="H639" s="13">
        <f>MEDIAN(B610:B639)</f>
        <v/>
      </c>
      <c r="I639" s="13">
        <f>MEDIAN(ABS(B610:B639-H639))</f>
        <v/>
      </c>
      <c r="J639" s="15">
        <f>IF(I639=0,"",0.6745*(B639-H639)/I639)</f>
        <v/>
      </c>
      <c r="K639" s="13">
        <f>0.2*B639+0.8*K638</f>
        <v/>
      </c>
      <c r="L639" s="13">
        <f>C639+3*D639*SQRT(0.2/(2-0.2))</f>
        <v/>
      </c>
      <c r="M639" s="13">
        <f>C639-3*D639*SQRT(0.2/(2-0.2))</f>
        <v/>
      </c>
      <c r="N639" s="13">
        <f>MAX(0,N638+(B639-C639-0.5*D639))</f>
        <v/>
      </c>
      <c r="O639" s="13">
        <f>MIN(0,O638+(B639-C639+0.5*D639))</f>
        <v/>
      </c>
      <c r="P639">
        <f>IF(ABS(G639)&gt;1,P638+1,0)</f>
        <v/>
      </c>
      <c r="Q639">
        <f>IFS(OR(ABS(G639)&gt;3,N639&gt;5*D639,ABS(O639)&gt;5*D639,P639&gt;=5),"CRITICAL",OR(ABS(G639)&gt;2,P639&gt;=3,ABS(J639)&gt;3.5),"EARLY WARNING",ABS(G639)&gt;1,"WATCH",TRUE,"NORMAL")</f>
        <v/>
      </c>
    </row>
    <row r="640">
      <c r="A640" s="12" t="n">
        <v>45665</v>
      </c>
      <c r="B640" s="13">
        <f>Raw_Data!B640</f>
        <v/>
      </c>
      <c r="C640" s="13">
        <f>AVERAGE(B611:B640)</f>
        <v/>
      </c>
      <c r="D640" s="13">
        <f>STDEV.S(B611:B640)</f>
        <v/>
      </c>
      <c r="E640" s="13">
        <f>C640+3*D640</f>
        <v/>
      </c>
      <c r="F640" s="13">
        <f>C640-3*D640</f>
        <v/>
      </c>
      <c r="G640" s="15">
        <f>IF(D640=0,"",(B640-C640)/D640)</f>
        <v/>
      </c>
      <c r="H640" s="13">
        <f>MEDIAN(B611:B640)</f>
        <v/>
      </c>
      <c r="I640" s="13">
        <f>MEDIAN(ABS(B611:B640-H640))</f>
        <v/>
      </c>
      <c r="J640" s="15">
        <f>IF(I640=0,"",0.6745*(B640-H640)/I640)</f>
        <v/>
      </c>
      <c r="K640" s="13">
        <f>0.2*B640+0.8*K639</f>
        <v/>
      </c>
      <c r="L640" s="13">
        <f>C640+3*D640*SQRT(0.2/(2-0.2))</f>
        <v/>
      </c>
      <c r="M640" s="13">
        <f>C640-3*D640*SQRT(0.2/(2-0.2))</f>
        <v/>
      </c>
      <c r="N640" s="13">
        <f>MAX(0,N639+(B640-C640-0.5*D640))</f>
        <v/>
      </c>
      <c r="O640" s="13">
        <f>MIN(0,O639+(B640-C640+0.5*D640))</f>
        <v/>
      </c>
      <c r="P640">
        <f>IF(ABS(G640)&gt;1,P639+1,0)</f>
        <v/>
      </c>
      <c r="Q640">
        <f>IFS(OR(ABS(G640)&gt;3,N640&gt;5*D640,ABS(O640)&gt;5*D640,P640&gt;=5),"CRITICAL",OR(ABS(G640)&gt;2,P640&gt;=3,ABS(J640)&gt;3.5),"EARLY WARNING",ABS(G640)&gt;1,"WATCH",TRUE,"NORMAL")</f>
        <v/>
      </c>
    </row>
    <row r="641">
      <c r="A641" s="12" t="n">
        <v>45666</v>
      </c>
      <c r="B641" s="13">
        <f>Raw_Data!B641</f>
        <v/>
      </c>
      <c r="C641" s="13">
        <f>AVERAGE(B612:B641)</f>
        <v/>
      </c>
      <c r="D641" s="13">
        <f>STDEV.S(B612:B641)</f>
        <v/>
      </c>
      <c r="E641" s="13">
        <f>C641+3*D641</f>
        <v/>
      </c>
      <c r="F641" s="13">
        <f>C641-3*D641</f>
        <v/>
      </c>
      <c r="G641" s="15">
        <f>IF(D641=0,"",(B641-C641)/D641)</f>
        <v/>
      </c>
      <c r="H641" s="13">
        <f>MEDIAN(B612:B641)</f>
        <v/>
      </c>
      <c r="I641" s="13">
        <f>MEDIAN(ABS(B612:B641-H641))</f>
        <v/>
      </c>
      <c r="J641" s="15">
        <f>IF(I641=0,"",0.6745*(B641-H641)/I641)</f>
        <v/>
      </c>
      <c r="K641" s="13">
        <f>0.2*B641+0.8*K640</f>
        <v/>
      </c>
      <c r="L641" s="13">
        <f>C641+3*D641*SQRT(0.2/(2-0.2))</f>
        <v/>
      </c>
      <c r="M641" s="13">
        <f>C641-3*D641*SQRT(0.2/(2-0.2))</f>
        <v/>
      </c>
      <c r="N641" s="13">
        <f>MAX(0,N640+(B641-C641-0.5*D641))</f>
        <v/>
      </c>
      <c r="O641" s="13">
        <f>MIN(0,O640+(B641-C641+0.5*D641))</f>
        <v/>
      </c>
      <c r="P641">
        <f>IF(ABS(G641)&gt;1,P640+1,0)</f>
        <v/>
      </c>
      <c r="Q641">
        <f>IFS(OR(ABS(G641)&gt;3,N641&gt;5*D641,ABS(O641)&gt;5*D641,P641&gt;=5),"CRITICAL",OR(ABS(G641)&gt;2,P641&gt;=3,ABS(J641)&gt;3.5),"EARLY WARNING",ABS(G641)&gt;1,"WATCH",TRUE,"NORMAL")</f>
        <v/>
      </c>
    </row>
    <row r="642">
      <c r="A642" s="12" t="n">
        <v>45667</v>
      </c>
      <c r="B642" s="13">
        <f>Raw_Data!B642</f>
        <v/>
      </c>
      <c r="C642" s="13">
        <f>AVERAGE(B613:B642)</f>
        <v/>
      </c>
      <c r="D642" s="13">
        <f>STDEV.S(B613:B642)</f>
        <v/>
      </c>
      <c r="E642" s="13">
        <f>C642+3*D642</f>
        <v/>
      </c>
      <c r="F642" s="13">
        <f>C642-3*D642</f>
        <v/>
      </c>
      <c r="G642" s="15">
        <f>IF(D642=0,"",(B642-C642)/D642)</f>
        <v/>
      </c>
      <c r="H642" s="13">
        <f>MEDIAN(B613:B642)</f>
        <v/>
      </c>
      <c r="I642" s="13">
        <f>MEDIAN(ABS(B613:B642-H642))</f>
        <v/>
      </c>
      <c r="J642" s="15">
        <f>IF(I642=0,"",0.6745*(B642-H642)/I642)</f>
        <v/>
      </c>
      <c r="K642" s="13">
        <f>0.2*B642+0.8*K641</f>
        <v/>
      </c>
      <c r="L642" s="13">
        <f>C642+3*D642*SQRT(0.2/(2-0.2))</f>
        <v/>
      </c>
      <c r="M642" s="13">
        <f>C642-3*D642*SQRT(0.2/(2-0.2))</f>
        <v/>
      </c>
      <c r="N642" s="13">
        <f>MAX(0,N641+(B642-C642-0.5*D642))</f>
        <v/>
      </c>
      <c r="O642" s="13">
        <f>MIN(0,O641+(B642-C642+0.5*D642))</f>
        <v/>
      </c>
      <c r="P642">
        <f>IF(ABS(G642)&gt;1,P641+1,0)</f>
        <v/>
      </c>
      <c r="Q642">
        <f>IFS(OR(ABS(G642)&gt;3,N642&gt;5*D642,ABS(O642)&gt;5*D642,P642&gt;=5),"CRITICAL",OR(ABS(G642)&gt;2,P642&gt;=3,ABS(J642)&gt;3.5),"EARLY WARNING",ABS(G642)&gt;1,"WATCH",TRUE,"NORMAL")</f>
        <v/>
      </c>
    </row>
    <row r="643">
      <c r="A643" s="12" t="n">
        <v>45668</v>
      </c>
      <c r="B643" s="13">
        <f>Raw_Data!B643</f>
        <v/>
      </c>
      <c r="C643" s="13">
        <f>AVERAGE(B614:B643)</f>
        <v/>
      </c>
      <c r="D643" s="13">
        <f>STDEV.S(B614:B643)</f>
        <v/>
      </c>
      <c r="E643" s="13">
        <f>C643+3*D643</f>
        <v/>
      </c>
      <c r="F643" s="13">
        <f>C643-3*D643</f>
        <v/>
      </c>
      <c r="G643" s="15">
        <f>IF(D643=0,"",(B643-C643)/D643)</f>
        <v/>
      </c>
      <c r="H643" s="13">
        <f>MEDIAN(B614:B643)</f>
        <v/>
      </c>
      <c r="I643" s="13">
        <f>MEDIAN(ABS(B614:B643-H643))</f>
        <v/>
      </c>
      <c r="J643" s="15">
        <f>IF(I643=0,"",0.6745*(B643-H643)/I643)</f>
        <v/>
      </c>
      <c r="K643" s="13">
        <f>0.2*B643+0.8*K642</f>
        <v/>
      </c>
      <c r="L643" s="13">
        <f>C643+3*D643*SQRT(0.2/(2-0.2))</f>
        <v/>
      </c>
      <c r="M643" s="13">
        <f>C643-3*D643*SQRT(0.2/(2-0.2))</f>
        <v/>
      </c>
      <c r="N643" s="13">
        <f>MAX(0,N642+(B643-C643-0.5*D643))</f>
        <v/>
      </c>
      <c r="O643" s="13">
        <f>MIN(0,O642+(B643-C643+0.5*D643))</f>
        <v/>
      </c>
      <c r="P643">
        <f>IF(ABS(G643)&gt;1,P642+1,0)</f>
        <v/>
      </c>
      <c r="Q643">
        <f>IFS(OR(ABS(G643)&gt;3,N643&gt;5*D643,ABS(O643)&gt;5*D643,P643&gt;=5),"CRITICAL",OR(ABS(G643)&gt;2,P643&gt;=3,ABS(J643)&gt;3.5),"EARLY WARNING",ABS(G643)&gt;1,"WATCH",TRUE,"NORMAL")</f>
        <v/>
      </c>
    </row>
    <row r="644">
      <c r="A644" s="12" t="n">
        <v>45669</v>
      </c>
      <c r="B644" s="13">
        <f>Raw_Data!B644</f>
        <v/>
      </c>
      <c r="C644" s="13">
        <f>AVERAGE(B615:B644)</f>
        <v/>
      </c>
      <c r="D644" s="13">
        <f>STDEV.S(B615:B644)</f>
        <v/>
      </c>
      <c r="E644" s="13">
        <f>C644+3*D644</f>
        <v/>
      </c>
      <c r="F644" s="13">
        <f>C644-3*D644</f>
        <v/>
      </c>
      <c r="G644" s="15">
        <f>IF(D644=0,"",(B644-C644)/D644)</f>
        <v/>
      </c>
      <c r="H644" s="13">
        <f>MEDIAN(B615:B644)</f>
        <v/>
      </c>
      <c r="I644" s="13">
        <f>MEDIAN(ABS(B615:B644-H644))</f>
        <v/>
      </c>
      <c r="J644" s="15">
        <f>IF(I644=0,"",0.6745*(B644-H644)/I644)</f>
        <v/>
      </c>
      <c r="K644" s="13">
        <f>0.2*B644+0.8*K643</f>
        <v/>
      </c>
      <c r="L644" s="13">
        <f>C644+3*D644*SQRT(0.2/(2-0.2))</f>
        <v/>
      </c>
      <c r="M644" s="13">
        <f>C644-3*D644*SQRT(0.2/(2-0.2))</f>
        <v/>
      </c>
      <c r="N644" s="13">
        <f>MAX(0,N643+(B644-C644-0.5*D644))</f>
        <v/>
      </c>
      <c r="O644" s="13">
        <f>MIN(0,O643+(B644-C644+0.5*D644))</f>
        <v/>
      </c>
      <c r="P644">
        <f>IF(ABS(G644)&gt;1,P643+1,0)</f>
        <v/>
      </c>
      <c r="Q644">
        <f>IFS(OR(ABS(G644)&gt;3,N644&gt;5*D644,ABS(O644)&gt;5*D644,P644&gt;=5),"CRITICAL",OR(ABS(G644)&gt;2,P644&gt;=3,ABS(J644)&gt;3.5),"EARLY WARNING",ABS(G644)&gt;1,"WATCH",TRUE,"NORMAL")</f>
        <v/>
      </c>
    </row>
  </sheetData>
  <conditionalFormatting sqref="Q2:Q644">
    <cfRule type="cellIs" priority="1" operator="equal" dxfId="5">
      <formula>"NORMAL"</formula>
    </cfRule>
    <cfRule type="cellIs" priority="2" operator="equal" dxfId="6">
      <formula>"WATCH"</formula>
    </cfRule>
    <cfRule type="cellIs" priority="3" operator="equal" dxfId="7">
      <formula>"EARLY WARNING"</formula>
    </cfRule>
    <cfRule type="cellIs" priority="4" operator="equal" dxfId="8">
      <formula>"CRITICAL"</formula>
    </cfRule>
    <cfRule type="cellIs" priority="5" operator="equal" dxfId="9">
      <formula>"Insufficient History"</formula>
    </cfRule>
  </conditionalFormatting>
  <conditionalFormatting sqref="G2:G644">
    <cfRule type="colorScale" priority="6">
      <colorScale>
        <cfvo type="num" val="-3"/>
        <cfvo type="num" val="0"/>
        <cfvo type="num" val="3"/>
        <color rgb="00FFC7CE"/>
        <color rgb="00FFFFFF"/>
        <color rgb="00FFC7CE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0" customWidth="1" min="4" max="4"/>
    <col width="10" customWidth="1" min="5" max="5"/>
    <col width="14" customWidth="1" min="6" max="6"/>
    <col width="16" customWidth="1" min="7" max="7"/>
  </cols>
  <sheetData>
    <row r="1">
      <c r="A1" s="11" t="inlineStr">
        <is>
          <t>Date</t>
        </is>
      </c>
      <c r="B1" s="11" t="inlineStr">
        <is>
          <t>Value</t>
        </is>
      </c>
      <c r="C1" s="11" t="inlineStr">
        <is>
          <t>Rolling_Mean_30</t>
        </is>
      </c>
      <c r="D1" s="11" t="inlineStr">
        <is>
          <t>Z_Score</t>
        </is>
      </c>
      <c r="E1" s="11" t="inlineStr">
        <is>
          <t>Robust_Z</t>
        </is>
      </c>
      <c r="F1" s="11" t="inlineStr">
        <is>
          <t>Consec_Breach</t>
        </is>
      </c>
      <c r="G1" s="11" t="inlineStr">
        <is>
          <t>Status</t>
        </is>
      </c>
    </row>
    <row r="2">
      <c r="A2" s="12">
        <f>IFERROR(SORT(FILTER(HSTACK(Analysis!A2:A644,Analysis!B2:B644,Analysis!C2:C644,Analysis!G2:G644,Analysis!J2:J644,Analysis!P2:P644,Analysis!Q2:Q644),(Analysis!Q2:Q644&lt;&gt;"NORMAL")*(Analysis!Q2:Q644&lt;&gt;"Insufficient History")),1,-1),"No active warnings")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2026-07-29T03:38:01Z</dcterms:created>
  <dcterms:modified xsi:type="dcterms:W3CDTF">2026-07-29T03:38:01Z</dcterms:modified>
</cp:coreProperties>
</file>